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Log" sheetId="1" r:id="rId1"/>
    <sheet name="Rates" sheetId="2" r:id="rId2"/>
    <sheet name="Summary" sheetId="3" r:id="rId3"/>
    <sheet name="How to Use" sheetId="4" r:id="rId4"/>
  </sheets>
  <calcPr calcId="14562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2" i="1" l="1"/>
  <c r="M11" i="1"/>
  <c r="M10" i="1"/>
  <c r="M9" i="1"/>
  <c r="M8" i="1"/>
  <c r="M6" i="1" l="1"/>
  <c r="E21" i="3" l="1"/>
  <c r="B21" i="3"/>
  <c r="D21" i="3" s="1"/>
  <c r="E20" i="3"/>
  <c r="B20" i="3"/>
  <c r="D20" i="3" s="1"/>
  <c r="E19" i="3"/>
  <c r="B19" i="3"/>
  <c r="D19" i="3" s="1"/>
  <c r="B18" i="3"/>
  <c r="D18" i="3" s="1"/>
  <c r="B17" i="3"/>
  <c r="D17" i="3" s="1"/>
  <c r="B11" i="3"/>
  <c r="B10" i="3"/>
  <c r="B9" i="3"/>
  <c r="B8" i="3"/>
  <c r="B7" i="3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7" i="1"/>
  <c r="B6" i="3" s="1"/>
  <c r="M5" i="1"/>
  <c r="E17" i="3" s="1"/>
  <c r="M4" i="1"/>
  <c r="M3" i="1"/>
  <c r="M2" i="1"/>
  <c r="B5" i="3" l="1"/>
  <c r="E18" i="3"/>
  <c r="B13" i="3"/>
  <c r="C17" i="3"/>
  <c r="C18" i="3"/>
  <c r="C19" i="3"/>
  <c r="C20" i="3"/>
  <c r="C21" i="3"/>
  <c r="B12" i="3"/>
</calcChain>
</file>

<file path=xl/sharedStrings.xml><?xml version="1.0" encoding="utf-8"?>
<sst xmlns="http://schemas.openxmlformats.org/spreadsheetml/2006/main" count="182" uniqueCount="112">
  <si>
    <t>Prompt ID</t>
  </si>
  <si>
    <t>Version</t>
  </si>
  <si>
    <t>Date</t>
  </si>
  <si>
    <t>Tool / Model</t>
  </si>
  <si>
    <t>Goal / Task</t>
  </si>
  <si>
    <t>Prompt + Output
File Link
(combined .txt)</t>
  </si>
  <si>
    <t>Worked?
(Y/N/Partial)</t>
  </si>
  <si>
    <t>Format
Match?
(Y/N)</t>
  </si>
  <si>
    <t>Failure Mode Tag
(1-2 words)</t>
  </si>
  <si>
    <t>Refinement Made
(what changed)</t>
  </si>
  <si>
    <t>Input
Tokens</t>
  </si>
  <si>
    <t>Output
Tokens</t>
  </si>
  <si>
    <t>Cost/Run
($)</t>
  </si>
  <si>
    <t>Trust at
Scale?
(Y/N)</t>
  </si>
  <si>
    <t>v1</t>
  </si>
  <si>
    <t>2026-06-18</t>
  </si>
  <si>
    <t>ChatGPT</t>
  </si>
  <si>
    <t>N</t>
  </si>
  <si>
    <t>v2</t>
  </si>
  <si>
    <t>Partial</t>
  </si>
  <si>
    <t>v3</t>
  </si>
  <si>
    <t>Y</t>
  </si>
  <si>
    <t>-</t>
  </si>
  <si>
    <t>Final — locked</t>
  </si>
  <si>
    <t>Claude</t>
  </si>
  <si>
    <t>MODEL PRICING (per 1M tokens, USD) — edit as needed</t>
  </si>
  <si>
    <t>Input $/1M tokens</t>
  </si>
  <si>
    <t>Output $/1M tokens</t>
  </si>
  <si>
    <t>Notes</t>
  </si>
  <si>
    <t>Sonnet-class pricing — update per model used</t>
  </si>
  <si>
    <t>GPT-4-class pricing — update per model used</t>
  </si>
  <si>
    <t>Grok</t>
  </si>
  <si>
    <t>Update per model used</t>
  </si>
  <si>
    <t>Gemini</t>
  </si>
  <si>
    <t>Other</t>
  </si>
  <si>
    <t>Fill in manually</t>
  </si>
  <si>
    <t>Cost/Run in the Log tab auto-calculates from this table. Update prices if they change.</t>
  </si>
  <si>
    <t>PROMPT DIARY — AUTO SUMMARY</t>
  </si>
  <si>
    <t>Pulls live from the Log tab. Add rows there — this updates automatically.</t>
  </si>
  <si>
    <t>OVERALL STATS</t>
  </si>
  <si>
    <t>Total prompt attempts logged</t>
  </si>
  <si>
    <t>Unique prompts (distinct IDs)</t>
  </si>
  <si>
    <t>Fully worked (Y)</t>
  </si>
  <si>
    <t>Failed (N)</t>
  </si>
  <si>
    <t>Overall Success Rate %</t>
  </si>
  <si>
    <t>Overall Format Accuracy %</t>
  </si>
  <si>
    <t>Total Cost Logged ($)</t>
  </si>
  <si>
    <t>Avg Cost per Successful Run ($)</t>
  </si>
  <si>
    <t>PERFORMANCE BY TOOL / MODEL</t>
  </si>
  <si>
    <t>Attempts</t>
  </si>
  <si>
    <t>Success Rate %</t>
  </si>
  <si>
    <t>Format Accuracy %</t>
  </si>
  <si>
    <t>Avg Cost/Run ($)</t>
  </si>
  <si>
    <t>PROMPT ENGINEERING DIARY — HOW TO USE (SIMPLIFIED FLOW)</t>
  </si>
  <si>
    <t>FOLDER STRUCTURE</t>
  </si>
  <si>
    <t>/PromptDiary_[ProjectName]/</t>
  </si>
  <si>
    <t xml:space="preserve">  Prompt_Engineering_Diary.xlsx   &lt;- this file</t>
  </si>
  <si>
    <t xml:space="preserve">  prompts_outputs/                &lt;- one combined .txt per version</t>
  </si>
  <si>
    <t xml:space="preserve">  README.md                       &lt;- one running file, updated per locked Prompt ID</t>
  </si>
  <si>
    <t>PER PROMPT VERSION (2 steps only)</t>
  </si>
  <si>
    <t>1. Run the prompt. Save ONE file: prompts_outputs/P00X_vY.txt</t>
  </si>
  <si>
    <t xml:space="preserve">   containing both ---PROMPT--- and ---OUTPUT--- sections.</t>
  </si>
  <si>
    <t>2. Add ONE row to the Log tab. Fill Tokens In/Out from the API/UI display</t>
  </si>
  <si>
    <t xml:space="preserve">   -- Cost/Run calculates automatically from the Rates tab.</t>
  </si>
  <si>
    <t>WHEN A PROMPT ID IS FULLY LOCKED (Worked=Y, Format=Y, final version)</t>
  </si>
  <si>
    <t>Add 3 lines to the project's README.md:</t>
  </si>
  <si>
    <t xml:space="preserve">  - Task, Final prompt file, Key lesson learned</t>
  </si>
  <si>
    <t>KEY COLUMNS</t>
  </si>
  <si>
    <t>- Worked? / Format Match?: drives the green/yellow/red flags and Summary %</t>
  </si>
  <si>
    <t>- Failure Mode Tag: 1-2 words only -- e.g. 'too verbose', 'wrong tone', 'no access'</t>
  </si>
  <si>
    <t>- Refinement Made: state the ONE thing changed from prior version (rule, not optional)</t>
  </si>
  <si>
    <t>- Trust at Scale?: gut-check -- would this hold up across 1000s of runs unattended</t>
  </si>
  <si>
    <t>- Input/Output Tokens: copy from the model UI or API response, no extra tool needed</t>
  </si>
  <si>
    <t>RATES TAB</t>
  </si>
  <si>
    <t>Edit per-model $/1M token pricing if it changes. Cost/Run in Log auto-updates.</t>
  </si>
  <si>
    <t>FINAL REPORT</t>
  </si>
  <si>
    <t>Once done, send this file + README.md to Claude: 'generate the report from this'.</t>
  </si>
  <si>
    <t>Produces a structured Word doc -- no manual report writing needed.</t>
  </si>
  <si>
    <t>P001</t>
  </si>
  <si>
    <t>Google Gemini</t>
  </si>
  <si>
    <t>YouTube video -&gt; produce transcript</t>
  </si>
  <si>
    <t>prompts_outputs/P001_v1.txt</t>
  </si>
  <si>
    <t>prodcued transcript in urdu</t>
  </si>
  <si>
    <t>1st prompt</t>
  </si>
  <si>
    <t>prompts_outputs/P001_v2.txt</t>
  </si>
  <si>
    <t>consumed high number of tokens</t>
  </si>
  <si>
    <t>P002</t>
  </si>
  <si>
    <t>Transcript -&gt; Presentation Oultine</t>
  </si>
  <si>
    <t>prompts_outputs/P002_v1.txt</t>
  </si>
  <si>
    <t>Add English language, output and input token count. Final - Locked</t>
  </si>
  <si>
    <t>P003</t>
  </si>
  <si>
    <t>Presentation Outline-&gt; Slides</t>
  </si>
  <si>
    <t>prompts_outputs/P003_v1.txt</t>
  </si>
  <si>
    <t>asked to cover more slides</t>
  </si>
  <si>
    <t>short output, 4 - 5 bullet points</t>
  </si>
  <si>
    <t>prompts_outputs/P003_v2.txt</t>
  </si>
  <si>
    <t>not recorded</t>
  </si>
  <si>
    <t>Finding From prompt 3 onwards, Gemini was asked to produce slides text based on presentation outline and transcript. However, the output was continous 4 - 5 bullet points only, even after several prompts iterations. Attempt discontinued. A new series of prompt was provided (prompt generated by Gemini) keeping LLM as Gemini</t>
  </si>
  <si>
    <t>P004</t>
  </si>
  <si>
    <t>prompts_outputs/P004_v1.txt</t>
  </si>
  <si>
    <t>P005</t>
  </si>
  <si>
    <t>P006</t>
  </si>
  <si>
    <t>prompts_outputs/P005_v1.txt</t>
  </si>
  <si>
    <t>prompts_outputs/P006_v1.txt</t>
  </si>
  <si>
    <t>prompts_outputs/P006_v2.txt</t>
  </si>
  <si>
    <t xml:space="preserve">slide 5 image size too large on </t>
  </si>
  <si>
    <t>asked to update slide 5 image</t>
  </si>
  <si>
    <t>image missing from slides 2,5,&amp;8</t>
  </si>
  <si>
    <t>asked to update images in slide 2,5 &amp; 8</t>
  </si>
  <si>
    <t>Presentation Outline -&gt; Presentation Slides</t>
  </si>
  <si>
    <t xml:space="preserve">Update Presentation Slides </t>
  </si>
  <si>
    <t>prompts_outputs/P006_v3.txt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</si>
</sst>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\$0.0000"/>
    <numFmt numFmtId="165" formatCode="\$0.00"/>
    <numFmt numFmtId="166" formatCode="0.0%"/>
  </numFmts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i/>
      <sz val="10"/>
      <color rgb="FF7F7F7F"/>
      <name val="Arial"/>
      <charset val="1"/>
    </font>
    <font>
      <sz val="10"/>
      <name val="Arial"/>
      <charset val="1"/>
    </font>
    <font>
      <b/>
      <sz val="12"/>
      <color rgb="FF1F3864"/>
      <name val="Arial"/>
      <charset val="1"/>
    </font>
    <font>
      <i/>
      <sz val="9"/>
      <color rgb="FF808080"/>
      <name val="Arial"/>
      <charset val="1"/>
    </font>
    <font>
      <b/>
      <sz val="16"/>
      <color rgb="FF1F3864"/>
      <name val="Arial"/>
      <charset val="1"/>
    </font>
    <font>
      <b/>
      <sz val="11"/>
      <color rgb="FF1F3864"/>
      <name val="Arial"/>
      <charset val="1"/>
    </font>
    <font>
      <b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3" fillId="0" borderId="1" xfId="0" applyFont="1" applyBorder="1"/>
    <xf numFmtId="165" fontId="3" fillId="0" borderId="1" xfId="0" applyNumberFormat="1" applyFont="1" applyBorder="1"/>
    <xf numFmtId="0" fontId="8" fillId="0" borderId="1" xfId="0" applyFont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8" fillId="4" borderId="1" xfId="0" applyFont="1" applyFill="1" applyBorder="1"/>
    <xf numFmtId="0" fontId="3" fillId="0" borderId="1" xfId="0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6" fillId="0" borderId="0" xfId="0" applyFont="1"/>
    <xf numFmtId="0" fontId="3" fillId="0" borderId="0" xfId="0" applyFont="1"/>
    <xf numFmtId="0" fontId="7" fillId="0" borderId="0" xfId="0" applyFont="1"/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  <xf numFmtId="0" fontId="7" fillId="3" borderId="0" xfId="0" applyFont="1" applyFill="1" applyBorder="1"/>
    <xf numFmtId="14" fontId="2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6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5"/>
  <sheetViews>
    <sheetView tabSelected="1" topLeftCell="B1" zoomScaleNormal="100" workbookViewId="0">
      <pane ySplit="1" topLeftCell="A5" activePane="bottomLeft" state="frozen"/>
      <selection pane="bottomLeft" activeCell="J9" sqref="J9"/>
    </sheetView>
  </sheetViews>
  <sheetFormatPr defaultColWidth="8.6328125" defaultRowHeight="14.5" x14ac:dyDescent="0.35"/>
  <cols>
    <col min="1" max="1" width="10" customWidth="1"/>
    <col min="2" max="2" width="8" customWidth="1"/>
    <col min="3" max="3" width="11" customWidth="1"/>
    <col min="4" max="4" width="14" customWidth="1"/>
    <col min="5" max="5" width="20" customWidth="1"/>
    <col min="6" max="6" width="22" customWidth="1"/>
    <col min="7" max="7" width="11" customWidth="1"/>
    <col min="8" max="8" width="10" customWidth="1"/>
    <col min="9" max="9" width="18" customWidth="1"/>
    <col min="10" max="10" width="24" customWidth="1"/>
    <col min="11" max="12" width="9" customWidth="1"/>
    <col min="13" max="14" width="10" customWidth="1"/>
  </cols>
  <sheetData>
    <row r="1" spans="1:14" ht="4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7.75" customHeight="1" x14ac:dyDescent="0.35">
      <c r="A2" s="2" t="s">
        <v>78</v>
      </c>
      <c r="B2" s="2" t="s">
        <v>14</v>
      </c>
      <c r="C2" s="2" t="s">
        <v>15</v>
      </c>
      <c r="D2" s="2" t="s">
        <v>79</v>
      </c>
      <c r="E2" s="2" t="s">
        <v>80</v>
      </c>
      <c r="F2" s="2" t="s">
        <v>81</v>
      </c>
      <c r="G2" s="2" t="s">
        <v>17</v>
      </c>
      <c r="H2" s="2" t="s">
        <v>17</v>
      </c>
      <c r="I2" s="2" t="s">
        <v>82</v>
      </c>
      <c r="J2" s="2" t="s">
        <v>83</v>
      </c>
      <c r="K2" s="2">
        <v>1850</v>
      </c>
      <c r="L2" s="2">
        <v>110</v>
      </c>
      <c r="M2" s="3">
        <f>IFERROR((K2/1000000*VLOOKUP(D2,Rates!$A$4:$C$8,2,FALSE()))+(L2/1000000*VLOOKUP(D2,Rates!$A$4:$C$8,3,FALSE())),0)</f>
        <v>0</v>
      </c>
      <c r="N2" s="2" t="s">
        <v>17</v>
      </c>
    </row>
    <row r="3" spans="1:14" ht="39" x14ac:dyDescent="0.35">
      <c r="A3" s="2" t="s">
        <v>78</v>
      </c>
      <c r="B3" s="2" t="s">
        <v>18</v>
      </c>
      <c r="C3" s="2" t="s">
        <v>15</v>
      </c>
      <c r="D3" s="2" t="s">
        <v>79</v>
      </c>
      <c r="E3" s="2" t="s">
        <v>80</v>
      </c>
      <c r="F3" s="2" t="s">
        <v>84</v>
      </c>
      <c r="G3" s="2" t="s">
        <v>21</v>
      </c>
      <c r="H3" s="2" t="s">
        <v>21</v>
      </c>
      <c r="I3" s="2" t="s">
        <v>85</v>
      </c>
      <c r="J3" s="2" t="s">
        <v>89</v>
      </c>
      <c r="K3" s="2">
        <v>6150</v>
      </c>
      <c r="L3" s="2">
        <v>1850</v>
      </c>
      <c r="M3" s="3">
        <f>IFERROR((K3/1000000*VLOOKUP(D3,Rates!$A$4:$C$8,2,FALSE()))+(L3/1000000*VLOOKUP(D3,Rates!$A$4:$C$8,3,FALSE())),0)</f>
        <v>0</v>
      </c>
      <c r="N3" s="2" t="s">
        <v>17</v>
      </c>
    </row>
    <row r="4" spans="1:14" ht="27.75" customHeight="1" x14ac:dyDescent="0.35">
      <c r="A4" s="2" t="s">
        <v>86</v>
      </c>
      <c r="B4" s="2" t="s">
        <v>14</v>
      </c>
      <c r="C4" s="2" t="s">
        <v>15</v>
      </c>
      <c r="D4" s="2" t="s">
        <v>79</v>
      </c>
      <c r="E4" s="2" t="s">
        <v>87</v>
      </c>
      <c r="F4" s="2" t="s">
        <v>88</v>
      </c>
      <c r="G4" s="2" t="s">
        <v>21</v>
      </c>
      <c r="H4" s="2" t="s">
        <v>21</v>
      </c>
      <c r="I4" s="2" t="s">
        <v>22</v>
      </c>
      <c r="J4" s="2" t="s">
        <v>23</v>
      </c>
      <c r="K4" s="2">
        <v>1240</v>
      </c>
      <c r="L4" s="2">
        <v>490</v>
      </c>
      <c r="M4" s="3">
        <f>IFERROR((K4/1000000*VLOOKUP(D4,Rates!$A$4:$C$8,2,FALSE()))+(L4/1000000*VLOOKUP(D4,Rates!$A$4:$C$8,3,FALSE())),0)</f>
        <v>0</v>
      </c>
      <c r="N4" s="2" t="s">
        <v>21</v>
      </c>
    </row>
    <row r="5" spans="1:14" ht="27.75" customHeight="1" x14ac:dyDescent="0.35">
      <c r="A5" s="2" t="s">
        <v>90</v>
      </c>
      <c r="B5" s="2" t="s">
        <v>20</v>
      </c>
      <c r="C5" s="2" t="s">
        <v>15</v>
      </c>
      <c r="D5" s="2" t="s">
        <v>79</v>
      </c>
      <c r="E5" s="2" t="s">
        <v>91</v>
      </c>
      <c r="F5" s="2" t="s">
        <v>92</v>
      </c>
      <c r="G5" s="2" t="s">
        <v>17</v>
      </c>
      <c r="H5" s="2" t="s">
        <v>17</v>
      </c>
      <c r="I5" s="2" t="s">
        <v>94</v>
      </c>
      <c r="J5" s="2" t="s">
        <v>93</v>
      </c>
      <c r="K5" s="2">
        <v>1980</v>
      </c>
      <c r="L5" s="2">
        <v>480</v>
      </c>
      <c r="M5" s="3">
        <f>IFERROR((K5/1000000*VLOOKUP(D5,Rates!$A$4:$C$8,2,FALSE()))+(L5/1000000*VLOOKUP(D5,Rates!$A$4:$C$8,3,FALSE())),0)</f>
        <v>0</v>
      </c>
      <c r="N5" s="2" t="s">
        <v>21</v>
      </c>
    </row>
    <row r="6" spans="1:14" ht="26" x14ac:dyDescent="0.35">
      <c r="A6" s="2" t="s">
        <v>90</v>
      </c>
      <c r="B6" s="2" t="s">
        <v>20</v>
      </c>
      <c r="C6" s="2" t="s">
        <v>15</v>
      </c>
      <c r="D6" s="2" t="s">
        <v>79</v>
      </c>
      <c r="E6" s="2" t="s">
        <v>91</v>
      </c>
      <c r="F6" s="2" t="s">
        <v>95</v>
      </c>
      <c r="G6" s="2" t="s">
        <v>17</v>
      </c>
      <c r="H6" s="2" t="s">
        <v>17</v>
      </c>
      <c r="I6" s="2" t="s">
        <v>94</v>
      </c>
      <c r="J6" s="2" t="s">
        <v>93</v>
      </c>
      <c r="K6" s="2" t="s">
        <v>96</v>
      </c>
      <c r="L6" s="2">
        <v>480</v>
      </c>
      <c r="M6" s="3">
        <f>IFERROR((K6/1000000*VLOOKUP(D6,Rates!$A$4:$C$8,2,FALSE()))+(L6/1000000*VLOOKUP(D6,Rates!$A$4:$C$8,3,FALSE())),0)</f>
        <v>0</v>
      </c>
      <c r="N6" s="2" t="s">
        <v>21</v>
      </c>
    </row>
    <row r="7" spans="1:14" ht="30.5" customHeight="1" x14ac:dyDescent="0.35">
      <c r="A7" s="18" t="s">
        <v>97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20"/>
      <c r="M7" s="5">
        <f>IFERROR((K7/1000000*VLOOKUP(D7,Rates!$A$4:$C$8,2,FALSE()))+(L7/1000000*VLOOKUP(D7,Rates!$A$4:$C$8,3,FALSE())),0)</f>
        <v>0</v>
      </c>
      <c r="N7" s="4"/>
    </row>
    <row r="8" spans="1:14" ht="26" x14ac:dyDescent="0.35">
      <c r="A8" s="2" t="s">
        <v>98</v>
      </c>
      <c r="B8" s="2" t="s">
        <v>14</v>
      </c>
      <c r="C8" s="25">
        <v>46195</v>
      </c>
      <c r="D8" s="2" t="s">
        <v>79</v>
      </c>
      <c r="E8" s="2" t="s">
        <v>80</v>
      </c>
      <c r="F8" s="2" t="s">
        <v>99</v>
      </c>
      <c r="G8" s="2" t="s">
        <v>21</v>
      </c>
      <c r="H8" s="2" t="s">
        <v>21</v>
      </c>
      <c r="I8" s="2"/>
      <c r="J8" s="2" t="s">
        <v>23</v>
      </c>
      <c r="K8" s="2">
        <v>450</v>
      </c>
      <c r="L8" s="2">
        <v>820</v>
      </c>
      <c r="M8" s="3">
        <f>IFERROR((K8/1000000*VLOOKUP(D8,Rates!$A$4:$C$8,2,FALSE()))+(L8/1000000*VLOOKUP(D8,Rates!$A$4:$C$8,3,FALSE())),0)</f>
        <v>0</v>
      </c>
      <c r="N8" s="2" t="s">
        <v>17</v>
      </c>
    </row>
    <row r="9" spans="1:14" ht="26" x14ac:dyDescent="0.35">
      <c r="A9" s="2" t="s">
        <v>100</v>
      </c>
      <c r="B9" s="2" t="s">
        <v>14</v>
      </c>
      <c r="C9" s="25">
        <v>46195</v>
      </c>
      <c r="D9" s="2" t="s">
        <v>79</v>
      </c>
      <c r="E9" s="2" t="s">
        <v>87</v>
      </c>
      <c r="F9" s="2" t="s">
        <v>102</v>
      </c>
      <c r="G9" s="2" t="s">
        <v>21</v>
      </c>
      <c r="H9" s="2" t="s">
        <v>21</v>
      </c>
      <c r="I9" s="2"/>
      <c r="J9" s="2" t="s">
        <v>23</v>
      </c>
      <c r="K9" s="2">
        <v>1450</v>
      </c>
      <c r="L9" s="2">
        <v>550</v>
      </c>
      <c r="M9" s="3">
        <f>IFERROR((K9/1000000*VLOOKUP(D9,Rates!$A$4:$C$8,2,FALSE()))+(L9/1000000*VLOOKUP(D9,Rates!$A$4:$C$8,3,FALSE())),0)</f>
        <v>0</v>
      </c>
      <c r="N9" s="2" t="s">
        <v>17</v>
      </c>
    </row>
    <row r="10" spans="1:14" ht="26" x14ac:dyDescent="0.35">
      <c r="A10" s="2" t="s">
        <v>101</v>
      </c>
      <c r="B10" s="2" t="s">
        <v>14</v>
      </c>
      <c r="C10" s="25">
        <v>46195</v>
      </c>
      <c r="D10" s="2" t="s">
        <v>79</v>
      </c>
      <c r="E10" s="2" t="s">
        <v>109</v>
      </c>
      <c r="F10" s="2" t="s">
        <v>103</v>
      </c>
      <c r="G10" s="2" t="s">
        <v>19</v>
      </c>
      <c r="H10" s="2" t="s">
        <v>21</v>
      </c>
      <c r="I10" s="2" t="s">
        <v>105</v>
      </c>
      <c r="J10" s="2" t="s">
        <v>106</v>
      </c>
      <c r="K10" s="2">
        <v>1350</v>
      </c>
      <c r="L10" s="2">
        <v>2750</v>
      </c>
      <c r="M10" s="3">
        <f>IFERROR((K10/1000000*VLOOKUP(D10,Rates!$A$4:$C$8,2,FALSE()))+(L10/1000000*VLOOKUP(D10,Rates!$A$4:$C$8,3,FALSE())),0)</f>
        <v>0</v>
      </c>
      <c r="N10" s="2" t="s">
        <v>17</v>
      </c>
    </row>
    <row r="11" spans="1:14" ht="26" x14ac:dyDescent="0.35">
      <c r="A11" s="2" t="s">
        <v>101</v>
      </c>
      <c r="B11" s="2" t="s">
        <v>18</v>
      </c>
      <c r="C11" s="25">
        <v>46195</v>
      </c>
      <c r="D11" s="2" t="s">
        <v>79</v>
      </c>
      <c r="E11" s="2" t="s">
        <v>110</v>
      </c>
      <c r="F11" s="2" t="s">
        <v>104</v>
      </c>
      <c r="G11" s="2" t="s">
        <v>19</v>
      </c>
      <c r="H11" s="2" t="s">
        <v>21</v>
      </c>
      <c r="I11" s="2" t="s">
        <v>107</v>
      </c>
      <c r="J11" s="2" t="s">
        <v>108</v>
      </c>
      <c r="K11" s="2">
        <v>2850</v>
      </c>
      <c r="L11" s="2">
        <v>380</v>
      </c>
      <c r="M11" s="3">
        <f>IFERROR((K11/1000000*VLOOKUP(D11,Rates!$A$4:$C$8,2,FALSE()))+(L11/1000000*VLOOKUP(D11,Rates!$A$4:$C$8,3,FALSE())),0)</f>
        <v>0</v>
      </c>
      <c r="N11" s="2" t="s">
        <v>17</v>
      </c>
    </row>
    <row r="12" spans="1:14" ht="26" x14ac:dyDescent="0.35">
      <c r="A12" s="2" t="s">
        <v>101</v>
      </c>
      <c r="B12" s="2" t="s">
        <v>20</v>
      </c>
      <c r="C12" s="25">
        <v>46195</v>
      </c>
      <c r="D12" s="2" t="s">
        <v>79</v>
      </c>
      <c r="E12" s="2" t="s">
        <v>110</v>
      </c>
      <c r="F12" s="2" t="s">
        <v>111</v>
      </c>
      <c r="G12" s="2" t="s">
        <v>19</v>
      </c>
      <c r="H12" s="2" t="s">
        <v>21</v>
      </c>
      <c r="I12" s="2"/>
      <c r="J12" s="2" t="s">
        <v>23</v>
      </c>
      <c r="K12" s="2">
        <v>4200</v>
      </c>
      <c r="L12" s="2">
        <v>3150</v>
      </c>
      <c r="M12" s="3">
        <f>IFERROR((K12/1000000*VLOOKUP(D12,Rates!$A$4:$C$8,2,FALSE()))+(L12/1000000*VLOOKUP(D12,Rates!$A$4:$C$8,3,FALSE())),0)</f>
        <v>0</v>
      </c>
      <c r="N12" s="2" t="s">
        <v>17</v>
      </c>
    </row>
    <row r="13" spans="1:14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5">
        <f>IFERROR((K13/1000000*VLOOKUP(D13,Rates!$A$4:$C$8,2,FALSE()))+(L13/1000000*VLOOKUP(D13,Rates!$A$4:$C$8,3,FALSE())),0)</f>
        <v>0</v>
      </c>
      <c r="N13" s="4"/>
    </row>
    <row r="14" spans="1:14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5">
        <f>IFERROR((K14/1000000*VLOOKUP(D14,Rates!$A$4:$C$8,2,FALSE()))+(L14/1000000*VLOOKUP(D14,Rates!$A$4:$C$8,3,FALSE())),0)</f>
        <v>0</v>
      </c>
      <c r="N14" s="4"/>
    </row>
    <row r="15" spans="1:14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5">
        <f>IFERROR((K15/1000000*VLOOKUP(D15,Rates!$A$4:$C$8,2,FALSE()))+(L15/1000000*VLOOKUP(D15,Rates!$A$4:$C$8,3,FALSE())),0)</f>
        <v>0</v>
      </c>
      <c r="N15" s="4"/>
    </row>
    <row r="16" spans="1:14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5">
        <f>IFERROR((K16/1000000*VLOOKUP(D16,Rates!$A$4:$C$8,2,FALSE()))+(L16/1000000*VLOOKUP(D16,Rates!$A$4:$C$8,3,FALSE())),0)</f>
        <v>0</v>
      </c>
      <c r="N16" s="4"/>
    </row>
    <row r="17" spans="1:14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5">
        <f>IFERROR((K17/1000000*VLOOKUP(D17,Rates!$A$4:$C$8,2,FALSE()))+(L17/1000000*VLOOKUP(D17,Rates!$A$4:$C$8,3,FALSE())),0)</f>
        <v>0</v>
      </c>
      <c r="N17" s="4"/>
    </row>
    <row r="18" spans="1:14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5">
        <f>IFERROR((K18/1000000*VLOOKUP(D18,Rates!$A$4:$C$8,2,FALSE()))+(L18/1000000*VLOOKUP(D18,Rates!$A$4:$C$8,3,FALSE())),0)</f>
        <v>0</v>
      </c>
      <c r="N18" s="4"/>
    </row>
    <row r="19" spans="1:14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5">
        <f>IFERROR((K19/1000000*VLOOKUP(D19,Rates!$A$4:$C$8,2,FALSE()))+(L19/1000000*VLOOKUP(D19,Rates!$A$4:$C$8,3,FALSE())),0)</f>
        <v>0</v>
      </c>
      <c r="N19" s="4"/>
    </row>
    <row r="20" spans="1:14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5">
        <f>IFERROR((K20/1000000*VLOOKUP(D20,Rates!$A$4:$C$8,2,FALSE()))+(L20/1000000*VLOOKUP(D20,Rates!$A$4:$C$8,3,FALSE())),0)</f>
        <v>0</v>
      </c>
      <c r="N20" s="4"/>
    </row>
    <row r="21" spans="1:14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5">
        <f>IFERROR((K21/1000000*VLOOKUP(D21,Rates!$A$4:$C$8,2,FALSE()))+(L21/1000000*VLOOKUP(D21,Rates!$A$4:$C$8,3,FALSE())),0)</f>
        <v>0</v>
      </c>
      <c r="N21" s="4"/>
    </row>
    <row r="22" spans="1:14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5">
        <f>IFERROR((K22/1000000*VLOOKUP(D22,Rates!$A$4:$C$8,2,FALSE()))+(L22/1000000*VLOOKUP(D22,Rates!$A$4:$C$8,3,FALSE())),0)</f>
        <v>0</v>
      </c>
      <c r="N22" s="4"/>
    </row>
    <row r="23" spans="1:14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5">
        <f>IFERROR((K23/1000000*VLOOKUP(D23,Rates!$A$4:$C$8,2,FALSE()))+(L23/1000000*VLOOKUP(D23,Rates!$A$4:$C$8,3,FALSE())),0)</f>
        <v>0</v>
      </c>
      <c r="N23" s="4"/>
    </row>
    <row r="24" spans="1:14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5">
        <f>IFERROR((K24/1000000*VLOOKUP(D24,Rates!$A$4:$C$8,2,FALSE()))+(L24/1000000*VLOOKUP(D24,Rates!$A$4:$C$8,3,FALSE())),0)</f>
        <v>0</v>
      </c>
      <c r="N24" s="4"/>
    </row>
    <row r="25" spans="1:14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5">
        <f>IFERROR((K25/1000000*VLOOKUP(D25,Rates!$A$4:$C$8,2,FALSE()))+(L25/1000000*VLOOKUP(D25,Rates!$A$4:$C$8,3,FALSE())),0)</f>
        <v>0</v>
      </c>
      <c r="N25" s="4"/>
    </row>
    <row r="26" spans="1:14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5">
        <f>IFERROR((K26/1000000*VLOOKUP(D26,Rates!$A$4:$C$8,2,FALSE()))+(L26/1000000*VLOOKUP(D26,Rates!$A$4:$C$8,3,FALSE())),0)</f>
        <v>0</v>
      </c>
      <c r="N26" s="4"/>
    </row>
    <row r="27" spans="1:14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5">
        <f>IFERROR((K27/1000000*VLOOKUP(D27,Rates!$A$4:$C$8,2,FALSE()))+(L27/1000000*VLOOKUP(D27,Rates!$A$4:$C$8,3,FALSE())),0)</f>
        <v>0</v>
      </c>
      <c r="N27" s="4"/>
    </row>
    <row r="28" spans="1:14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5">
        <f>IFERROR((K28/1000000*VLOOKUP(D28,Rates!$A$4:$C$8,2,FALSE()))+(L28/1000000*VLOOKUP(D28,Rates!$A$4:$C$8,3,FALSE())),0)</f>
        <v>0</v>
      </c>
      <c r="N28" s="4"/>
    </row>
    <row r="29" spans="1:14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5">
        <f>IFERROR((K29/1000000*VLOOKUP(D29,Rates!$A$4:$C$8,2,FALSE()))+(L29/1000000*VLOOKUP(D29,Rates!$A$4:$C$8,3,FALSE())),0)</f>
        <v>0</v>
      </c>
      <c r="N29" s="4"/>
    </row>
    <row r="30" spans="1:14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5">
        <f>IFERROR((K30/1000000*VLOOKUP(D30,Rates!$A$4:$C$8,2,FALSE()))+(L30/1000000*VLOOKUP(D30,Rates!$A$4:$C$8,3,FALSE())),0)</f>
        <v>0</v>
      </c>
      <c r="N30" s="4"/>
    </row>
    <row r="31" spans="1:14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5">
        <f>IFERROR((K31/1000000*VLOOKUP(D31,Rates!$A$4:$C$8,2,FALSE()))+(L31/1000000*VLOOKUP(D31,Rates!$A$4:$C$8,3,FALSE())),0)</f>
        <v>0</v>
      </c>
      <c r="N31" s="4"/>
    </row>
    <row r="32" spans="1:14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5">
        <f>IFERROR((K32/1000000*VLOOKUP(D32,Rates!$A$4:$C$8,2,FALSE()))+(L32/1000000*VLOOKUP(D32,Rates!$A$4:$C$8,3,FALSE())),0)</f>
        <v>0</v>
      </c>
      <c r="N32" s="4"/>
    </row>
    <row r="33" spans="1:14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5">
        <f>IFERROR((K33/1000000*VLOOKUP(D33,Rates!$A$4:$C$8,2,FALSE()))+(L33/1000000*VLOOKUP(D33,Rates!$A$4:$C$8,3,FALSE())),0)</f>
        <v>0</v>
      </c>
      <c r="N33" s="4"/>
    </row>
    <row r="34" spans="1:14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5">
        <f>IFERROR((K34/1000000*VLOOKUP(D34,Rates!$A$4:$C$8,2,FALSE()))+(L34/1000000*VLOOKUP(D34,Rates!$A$4:$C$8,3,FALSE())),0)</f>
        <v>0</v>
      </c>
      <c r="N34" s="4"/>
    </row>
    <row r="35" spans="1:14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5">
        <f>IFERROR((K35/1000000*VLOOKUP(D35,Rates!$A$4:$C$8,2,FALSE()))+(L35/1000000*VLOOKUP(D35,Rates!$A$4:$C$8,3,FALSE())),0)</f>
        <v>0</v>
      </c>
      <c r="N35" s="4"/>
    </row>
    <row r="36" spans="1:14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5">
        <f>IFERROR((K36/1000000*VLOOKUP(D36,Rates!$A$4:$C$8,2,FALSE()))+(L36/1000000*VLOOKUP(D36,Rates!$A$4:$C$8,3,FALSE())),0)</f>
        <v>0</v>
      </c>
      <c r="N36" s="4"/>
    </row>
    <row r="37" spans="1:14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5">
        <f>IFERROR((K37/1000000*VLOOKUP(D37,Rates!$A$4:$C$8,2,FALSE()))+(L37/1000000*VLOOKUP(D37,Rates!$A$4:$C$8,3,FALSE())),0)</f>
        <v>0</v>
      </c>
      <c r="N37" s="4"/>
    </row>
    <row r="38" spans="1:14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5">
        <f>IFERROR((K38/1000000*VLOOKUP(D38,Rates!$A$4:$C$8,2,FALSE()))+(L38/1000000*VLOOKUP(D38,Rates!$A$4:$C$8,3,FALSE())),0)</f>
        <v>0</v>
      </c>
      <c r="N38" s="4"/>
    </row>
    <row r="39" spans="1:14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5">
        <f>IFERROR((K39/1000000*VLOOKUP(D39,Rates!$A$4:$C$8,2,FALSE()))+(L39/1000000*VLOOKUP(D39,Rates!$A$4:$C$8,3,FALSE())),0)</f>
        <v>0</v>
      </c>
      <c r="N39" s="4"/>
    </row>
    <row r="40" spans="1:14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5">
        <f>IFERROR((K40/1000000*VLOOKUP(D40,Rates!$A$4:$C$8,2,FALSE()))+(L40/1000000*VLOOKUP(D40,Rates!$A$4:$C$8,3,FALSE())),0)</f>
        <v>0</v>
      </c>
      <c r="N40" s="4"/>
    </row>
    <row r="41" spans="1:14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5">
        <f>IFERROR((K41/1000000*VLOOKUP(D41,Rates!$A$4:$C$8,2,FALSE()))+(L41/1000000*VLOOKUP(D41,Rates!$A$4:$C$8,3,FALSE())),0)</f>
        <v>0</v>
      </c>
      <c r="N41" s="4"/>
    </row>
    <row r="42" spans="1:14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5">
        <f>IFERROR((K42/1000000*VLOOKUP(D42,Rates!$A$4:$C$8,2,FALSE()))+(L42/1000000*VLOOKUP(D42,Rates!$A$4:$C$8,3,FALSE())),0)</f>
        <v>0</v>
      </c>
      <c r="N42" s="4"/>
    </row>
    <row r="43" spans="1:14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5">
        <f>IFERROR((K43/1000000*VLOOKUP(D43,Rates!$A$4:$C$8,2,FALSE()))+(L43/1000000*VLOOKUP(D43,Rates!$A$4:$C$8,3,FALSE())),0)</f>
        <v>0</v>
      </c>
      <c r="N43" s="4"/>
    </row>
    <row r="44" spans="1:14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5">
        <f>IFERROR((K44/1000000*VLOOKUP(D44,Rates!$A$4:$C$8,2,FALSE()))+(L44/1000000*VLOOKUP(D44,Rates!$A$4:$C$8,3,FALSE())),0)</f>
        <v>0</v>
      </c>
      <c r="N44" s="4"/>
    </row>
    <row r="45" spans="1:14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5">
        <f>IFERROR((K45/1000000*VLOOKUP(D45,Rates!$A$4:$C$8,2,FALSE()))+(L45/1000000*VLOOKUP(D45,Rates!$A$4:$C$8,3,FALSE())),0)</f>
        <v>0</v>
      </c>
      <c r="N45" s="4"/>
    </row>
    <row r="46" spans="1:14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5">
        <f>IFERROR((K46/1000000*VLOOKUP(D46,Rates!$A$4:$C$8,2,FALSE()))+(L46/1000000*VLOOKUP(D46,Rates!$A$4:$C$8,3,FALSE())),0)</f>
        <v>0</v>
      </c>
      <c r="N46" s="4"/>
    </row>
    <row r="47" spans="1:14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5">
        <f>IFERROR((K47/1000000*VLOOKUP(D47,Rates!$A$4:$C$8,2,FALSE()))+(L47/1000000*VLOOKUP(D47,Rates!$A$4:$C$8,3,FALSE())),0)</f>
        <v>0</v>
      </c>
      <c r="N47" s="4"/>
    </row>
    <row r="48" spans="1:14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5">
        <f>IFERROR((K48/1000000*VLOOKUP(D48,Rates!$A$4:$C$8,2,FALSE()))+(L48/1000000*VLOOKUP(D48,Rates!$A$4:$C$8,3,FALSE())),0)</f>
        <v>0</v>
      </c>
      <c r="N48" s="4"/>
    </row>
    <row r="49" spans="1:14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5">
        <f>IFERROR((K49/1000000*VLOOKUP(D49,Rates!$A$4:$C$8,2,FALSE()))+(L49/1000000*VLOOKUP(D49,Rates!$A$4:$C$8,3,FALSE())),0)</f>
        <v>0</v>
      </c>
      <c r="N49" s="4"/>
    </row>
    <row r="50" spans="1:14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5">
        <f>IFERROR((K50/1000000*VLOOKUP(D50,Rates!$A$4:$C$8,2,FALSE()))+(L50/1000000*VLOOKUP(D50,Rates!$A$4:$C$8,3,FALSE())),0)</f>
        <v>0</v>
      </c>
      <c r="N50" s="4"/>
    </row>
    <row r="51" spans="1:14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5">
        <f>IFERROR((K51/1000000*VLOOKUP(D51,Rates!$A$4:$C$8,2,FALSE()))+(L51/1000000*VLOOKUP(D51,Rates!$A$4:$C$8,3,FALSE())),0)</f>
        <v>0</v>
      </c>
      <c r="N51" s="4"/>
    </row>
    <row r="52" spans="1:14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5">
        <f>IFERROR((K52/1000000*VLOOKUP(D52,Rates!$A$4:$C$8,2,FALSE()))+(L52/1000000*VLOOKUP(D52,Rates!$A$4:$C$8,3,FALSE())),0)</f>
        <v>0</v>
      </c>
      <c r="N52" s="4"/>
    </row>
    <row r="53" spans="1:14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5">
        <f>IFERROR((K53/1000000*VLOOKUP(D53,Rates!$A$4:$C$8,2,FALSE()))+(L53/1000000*VLOOKUP(D53,Rates!$A$4:$C$8,3,FALSE())),0)</f>
        <v>0</v>
      </c>
      <c r="N53" s="4"/>
    </row>
    <row r="54" spans="1:14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5">
        <f>IFERROR((K54/1000000*VLOOKUP(D54,Rates!$A$4:$C$8,2,FALSE()))+(L54/1000000*VLOOKUP(D54,Rates!$A$4:$C$8,3,FALSE())),0)</f>
        <v>0</v>
      </c>
      <c r="N54" s="4"/>
    </row>
    <row r="55" spans="1:14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5">
        <f>IFERROR((K55/1000000*VLOOKUP(D55,Rates!$A$4:$C$8,2,FALSE()))+(L55/1000000*VLOOKUP(D55,Rates!$A$4:$C$8,3,FALSE())),0)</f>
        <v>0</v>
      </c>
      <c r="N55" s="4"/>
    </row>
    <row r="56" spans="1:14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5">
        <f>IFERROR((K56/1000000*VLOOKUP(D56,Rates!$A$4:$C$8,2,FALSE()))+(L56/1000000*VLOOKUP(D56,Rates!$A$4:$C$8,3,FALSE())),0)</f>
        <v>0</v>
      </c>
      <c r="N56" s="4"/>
    </row>
    <row r="57" spans="1:14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5">
        <f>IFERROR((K57/1000000*VLOOKUP(D57,Rates!$A$4:$C$8,2,FALSE()))+(L57/1000000*VLOOKUP(D57,Rates!$A$4:$C$8,3,FALSE())),0)</f>
        <v>0</v>
      </c>
      <c r="N57" s="4"/>
    </row>
    <row r="58" spans="1:14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5">
        <f>IFERROR((K58/1000000*VLOOKUP(D58,Rates!$A$4:$C$8,2,FALSE()))+(L58/1000000*VLOOKUP(D58,Rates!$A$4:$C$8,3,FALSE())),0)</f>
        <v>0</v>
      </c>
      <c r="N58" s="4"/>
    </row>
    <row r="59" spans="1:14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5">
        <f>IFERROR((K59/1000000*VLOOKUP(D59,Rates!$A$4:$C$8,2,FALSE()))+(L59/1000000*VLOOKUP(D59,Rates!$A$4:$C$8,3,FALSE())),0)</f>
        <v>0</v>
      </c>
      <c r="N59" s="4"/>
    </row>
    <row r="60" spans="1:14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5">
        <f>IFERROR((K60/1000000*VLOOKUP(D60,Rates!$A$4:$C$8,2,FALSE()))+(L60/1000000*VLOOKUP(D60,Rates!$A$4:$C$8,3,FALSE())),0)</f>
        <v>0</v>
      </c>
      <c r="N60" s="4"/>
    </row>
    <row r="61" spans="1:14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5">
        <f>IFERROR((K61/1000000*VLOOKUP(D61,Rates!$A$4:$C$8,2,FALSE()))+(L61/1000000*VLOOKUP(D61,Rates!$A$4:$C$8,3,FALSE())),0)</f>
        <v>0</v>
      </c>
      <c r="N61" s="4"/>
    </row>
    <row r="62" spans="1:14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5">
        <f>IFERROR((K62/1000000*VLOOKUP(D62,Rates!$A$4:$C$8,2,FALSE()))+(L62/1000000*VLOOKUP(D62,Rates!$A$4:$C$8,3,FALSE())),0)</f>
        <v>0</v>
      </c>
      <c r="N62" s="4"/>
    </row>
    <row r="63" spans="1:14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5">
        <f>IFERROR((K63/1000000*VLOOKUP(D63,Rates!$A$4:$C$8,2,FALSE()))+(L63/1000000*VLOOKUP(D63,Rates!$A$4:$C$8,3,FALSE())),0)</f>
        <v>0</v>
      </c>
      <c r="N63" s="4"/>
    </row>
    <row r="64" spans="1:14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5">
        <f>IFERROR((K64/1000000*VLOOKUP(D64,Rates!$A$4:$C$8,2,FALSE()))+(L64/1000000*VLOOKUP(D64,Rates!$A$4:$C$8,3,FALSE())),0)</f>
        <v>0</v>
      </c>
      <c r="N64" s="4"/>
    </row>
    <row r="65" spans="1:14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5">
        <f>IFERROR((K65/1000000*VLOOKUP(D65,Rates!$A$4:$C$8,2,FALSE()))+(L65/1000000*VLOOKUP(D65,Rates!$A$4:$C$8,3,FALSE())),0)</f>
        <v>0</v>
      </c>
      <c r="N65" s="4"/>
    </row>
    <row r="66" spans="1:14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5">
        <f>IFERROR((K66/1000000*VLOOKUP(D66,Rates!$A$4:$C$8,2,FALSE()))+(L66/1000000*VLOOKUP(D66,Rates!$A$4:$C$8,3,FALSE())),0)</f>
        <v>0</v>
      </c>
      <c r="N66" s="4"/>
    </row>
    <row r="67" spans="1:14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5">
        <f>IFERROR((K67/1000000*VLOOKUP(D67,Rates!$A$4:$C$8,2,FALSE()))+(L67/1000000*VLOOKUP(D67,Rates!$A$4:$C$8,3,FALSE())),0)</f>
        <v>0</v>
      </c>
      <c r="N67" s="4"/>
    </row>
    <row r="68" spans="1:14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5">
        <f>IFERROR((K68/1000000*VLOOKUP(D68,Rates!$A$4:$C$8,2,FALSE()))+(L68/1000000*VLOOKUP(D68,Rates!$A$4:$C$8,3,FALSE())),0)</f>
        <v>0</v>
      </c>
      <c r="N68" s="4"/>
    </row>
    <row r="69" spans="1:14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5">
        <f>IFERROR((K69/1000000*VLOOKUP(D69,Rates!$A$4:$C$8,2,FALSE()))+(L69/1000000*VLOOKUP(D69,Rates!$A$4:$C$8,3,FALSE())),0)</f>
        <v>0</v>
      </c>
      <c r="N69" s="4"/>
    </row>
    <row r="70" spans="1:14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5">
        <f>IFERROR((K70/1000000*VLOOKUP(D70,Rates!$A$4:$C$8,2,FALSE()))+(L70/1000000*VLOOKUP(D70,Rates!$A$4:$C$8,3,FALSE())),0)</f>
        <v>0</v>
      </c>
      <c r="N70" s="4"/>
    </row>
    <row r="71" spans="1:14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5">
        <f>IFERROR((K71/1000000*VLOOKUP(D71,Rates!$A$4:$C$8,2,FALSE()))+(L71/1000000*VLOOKUP(D71,Rates!$A$4:$C$8,3,FALSE())),0)</f>
        <v>0</v>
      </c>
      <c r="N71" s="4"/>
    </row>
    <row r="72" spans="1:14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5">
        <f>IFERROR((K72/1000000*VLOOKUP(D72,Rates!$A$4:$C$8,2,FALSE()))+(L72/1000000*VLOOKUP(D72,Rates!$A$4:$C$8,3,FALSE())),0)</f>
        <v>0</v>
      </c>
      <c r="N72" s="4"/>
    </row>
    <row r="73" spans="1:14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5">
        <f>IFERROR((K73/1000000*VLOOKUP(D73,Rates!$A$4:$C$8,2,FALSE()))+(L73/1000000*VLOOKUP(D73,Rates!$A$4:$C$8,3,FALSE())),0)</f>
        <v>0</v>
      </c>
      <c r="N73" s="4"/>
    </row>
    <row r="74" spans="1:14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5">
        <f>IFERROR((K74/1000000*VLOOKUP(D74,Rates!$A$4:$C$8,2,FALSE()))+(L74/1000000*VLOOKUP(D74,Rates!$A$4:$C$8,3,FALSE())),0)</f>
        <v>0</v>
      </c>
      <c r="N74" s="4"/>
    </row>
    <row r="75" spans="1:14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5">
        <f>IFERROR((K75/1000000*VLOOKUP(D75,Rates!$A$4:$C$8,2,FALSE()))+(L75/1000000*VLOOKUP(D75,Rates!$A$4:$C$8,3,FALSE())),0)</f>
        <v>0</v>
      </c>
      <c r="N75" s="4"/>
    </row>
    <row r="76" spans="1:14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5">
        <f>IFERROR((K76/1000000*VLOOKUP(D76,Rates!$A$4:$C$8,2,FALSE()))+(L76/1000000*VLOOKUP(D76,Rates!$A$4:$C$8,3,FALSE())),0)</f>
        <v>0</v>
      </c>
      <c r="N76" s="4"/>
    </row>
    <row r="77" spans="1:14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5">
        <f>IFERROR((K77/1000000*VLOOKUP(D77,Rates!$A$4:$C$8,2,FALSE()))+(L77/1000000*VLOOKUP(D77,Rates!$A$4:$C$8,3,FALSE())),0)</f>
        <v>0</v>
      </c>
      <c r="N77" s="4"/>
    </row>
    <row r="78" spans="1:14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5">
        <f>IFERROR((K78/1000000*VLOOKUP(D78,Rates!$A$4:$C$8,2,FALSE()))+(L78/1000000*VLOOKUP(D78,Rates!$A$4:$C$8,3,FALSE())),0)</f>
        <v>0</v>
      </c>
      <c r="N78" s="4"/>
    </row>
    <row r="79" spans="1:14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5">
        <f>IFERROR((K79/1000000*VLOOKUP(D79,Rates!$A$4:$C$8,2,FALSE()))+(L79/1000000*VLOOKUP(D79,Rates!$A$4:$C$8,3,FALSE())),0)</f>
        <v>0</v>
      </c>
      <c r="N79" s="4"/>
    </row>
    <row r="80" spans="1:14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5">
        <f>IFERROR((K80/1000000*VLOOKUP(D80,Rates!$A$4:$C$8,2,FALSE()))+(L80/1000000*VLOOKUP(D80,Rates!$A$4:$C$8,3,FALSE())),0)</f>
        <v>0</v>
      </c>
      <c r="N80" s="4"/>
    </row>
    <row r="81" spans="1:14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5">
        <f>IFERROR((K81/1000000*VLOOKUP(D81,Rates!$A$4:$C$8,2,FALSE()))+(L81/1000000*VLOOKUP(D81,Rates!$A$4:$C$8,3,FALSE())),0)</f>
        <v>0</v>
      </c>
      <c r="N81" s="4"/>
    </row>
    <row r="82" spans="1:14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5">
        <f>IFERROR((K82/1000000*VLOOKUP(D82,Rates!$A$4:$C$8,2,FALSE()))+(L82/1000000*VLOOKUP(D82,Rates!$A$4:$C$8,3,FALSE())),0)</f>
        <v>0</v>
      </c>
      <c r="N82" s="4"/>
    </row>
    <row r="83" spans="1:14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5">
        <f>IFERROR((K83/1000000*VLOOKUP(D83,Rates!$A$4:$C$8,2,FALSE()))+(L83/1000000*VLOOKUP(D83,Rates!$A$4:$C$8,3,FALSE())),0)</f>
        <v>0</v>
      </c>
      <c r="N83" s="4"/>
    </row>
    <row r="84" spans="1:14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5">
        <f>IFERROR((K84/1000000*VLOOKUP(D84,Rates!$A$4:$C$8,2,FALSE()))+(L84/1000000*VLOOKUP(D84,Rates!$A$4:$C$8,3,FALSE())),0)</f>
        <v>0</v>
      </c>
      <c r="N84" s="4"/>
    </row>
    <row r="85" spans="1:14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5">
        <f>IFERROR((K85/1000000*VLOOKUP(D85,Rates!$A$4:$C$8,2,FALSE()))+(L85/1000000*VLOOKUP(D85,Rates!$A$4:$C$8,3,FALSE())),0)</f>
        <v>0</v>
      </c>
      <c r="N85" s="4"/>
    </row>
    <row r="86" spans="1:14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5">
        <f>IFERROR((K86/1000000*VLOOKUP(D86,Rates!$A$4:$C$8,2,FALSE()))+(L86/1000000*VLOOKUP(D86,Rates!$A$4:$C$8,3,FALSE())),0)</f>
        <v>0</v>
      </c>
      <c r="N86" s="4"/>
    </row>
    <row r="87" spans="1:14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5">
        <f>IFERROR((K87/1000000*VLOOKUP(D87,Rates!$A$4:$C$8,2,FALSE()))+(L87/1000000*VLOOKUP(D87,Rates!$A$4:$C$8,3,FALSE())),0)</f>
        <v>0</v>
      </c>
      <c r="N87" s="4"/>
    </row>
    <row r="88" spans="1:14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5">
        <f>IFERROR((K88/1000000*VLOOKUP(D88,Rates!$A$4:$C$8,2,FALSE()))+(L88/1000000*VLOOKUP(D88,Rates!$A$4:$C$8,3,FALSE())),0)</f>
        <v>0</v>
      </c>
      <c r="N88" s="4"/>
    </row>
    <row r="89" spans="1:14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5">
        <f>IFERROR((K89/1000000*VLOOKUP(D89,Rates!$A$4:$C$8,2,FALSE()))+(L89/1000000*VLOOKUP(D89,Rates!$A$4:$C$8,3,FALSE())),0)</f>
        <v>0</v>
      </c>
      <c r="N89" s="4"/>
    </row>
    <row r="90" spans="1:14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5">
        <f>IFERROR((K90/1000000*VLOOKUP(D90,Rates!$A$4:$C$8,2,FALSE()))+(L90/1000000*VLOOKUP(D90,Rates!$A$4:$C$8,3,FALSE())),0)</f>
        <v>0</v>
      </c>
      <c r="N90" s="4"/>
    </row>
    <row r="91" spans="1:14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5">
        <f>IFERROR((K91/1000000*VLOOKUP(D91,Rates!$A$4:$C$8,2,FALSE()))+(L91/1000000*VLOOKUP(D91,Rates!$A$4:$C$8,3,FALSE())),0)</f>
        <v>0</v>
      </c>
      <c r="N91" s="4"/>
    </row>
    <row r="92" spans="1:14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5">
        <f>IFERROR((K92/1000000*VLOOKUP(D92,Rates!$A$4:$C$8,2,FALSE()))+(L92/1000000*VLOOKUP(D92,Rates!$A$4:$C$8,3,FALSE())),0)</f>
        <v>0</v>
      </c>
      <c r="N92" s="4"/>
    </row>
    <row r="93" spans="1:14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5">
        <f>IFERROR((K93/1000000*VLOOKUP(D93,Rates!$A$4:$C$8,2,FALSE()))+(L93/1000000*VLOOKUP(D93,Rates!$A$4:$C$8,3,FALSE())),0)</f>
        <v>0</v>
      </c>
      <c r="N93" s="4"/>
    </row>
    <row r="94" spans="1:14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5">
        <f>IFERROR((K94/1000000*VLOOKUP(D94,Rates!$A$4:$C$8,2,FALSE()))+(L94/1000000*VLOOKUP(D94,Rates!$A$4:$C$8,3,FALSE())),0)</f>
        <v>0</v>
      </c>
      <c r="N94" s="4"/>
    </row>
    <row r="95" spans="1:14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5">
        <f>IFERROR((K95/1000000*VLOOKUP(D95,Rates!$A$4:$C$8,2,FALSE()))+(L95/1000000*VLOOKUP(D95,Rates!$A$4:$C$8,3,FALSE())),0)</f>
        <v>0</v>
      </c>
      <c r="N95" s="4"/>
    </row>
    <row r="96" spans="1:14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5">
        <f>IFERROR((K96/1000000*VLOOKUP(D96,Rates!$A$4:$C$8,2,FALSE()))+(L96/1000000*VLOOKUP(D96,Rates!$A$4:$C$8,3,FALSE())),0)</f>
        <v>0</v>
      </c>
      <c r="N96" s="4"/>
    </row>
    <row r="97" spans="1:14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5">
        <f>IFERROR((K97/1000000*VLOOKUP(D97,Rates!$A$4:$C$8,2,FALSE()))+(L97/1000000*VLOOKUP(D97,Rates!$A$4:$C$8,3,FALSE())),0)</f>
        <v>0</v>
      </c>
      <c r="N97" s="4"/>
    </row>
    <row r="98" spans="1:14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5">
        <f>IFERROR((K98/1000000*VLOOKUP(D98,Rates!$A$4:$C$8,2,FALSE()))+(L98/1000000*VLOOKUP(D98,Rates!$A$4:$C$8,3,FALSE())),0)</f>
        <v>0</v>
      </c>
      <c r="N98" s="4"/>
    </row>
    <row r="99" spans="1:14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5">
        <f>IFERROR((K99/1000000*VLOOKUP(D99,Rates!$A$4:$C$8,2,FALSE()))+(L99/1000000*VLOOKUP(D99,Rates!$A$4:$C$8,3,FALSE())),0)</f>
        <v>0</v>
      </c>
      <c r="N99" s="4"/>
    </row>
    <row r="100" spans="1:14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5">
        <f>IFERROR((K100/1000000*VLOOKUP(D100,Rates!$A$4:$C$8,2,FALSE()))+(L100/1000000*VLOOKUP(D100,Rates!$A$4:$C$8,3,FALSE())),0)</f>
        <v>0</v>
      </c>
      <c r="N100" s="4"/>
    </row>
    <row r="101" spans="1:14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5">
        <f>IFERROR((K101/1000000*VLOOKUP(D101,Rates!$A$4:$C$8,2,FALSE()))+(L101/1000000*VLOOKUP(D101,Rates!$A$4:$C$8,3,FALSE())),0)</f>
        <v>0</v>
      </c>
      <c r="N101" s="4"/>
    </row>
    <row r="102" spans="1:14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5">
        <f>IFERROR((K102/1000000*VLOOKUP(D102,Rates!$A$4:$C$8,2,FALSE()))+(L102/1000000*VLOOKUP(D102,Rates!$A$4:$C$8,3,FALSE())),0)</f>
        <v>0</v>
      </c>
      <c r="N102" s="4"/>
    </row>
    <row r="103" spans="1:14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5">
        <f>IFERROR((K103/1000000*VLOOKUP(D103,Rates!$A$4:$C$8,2,FALSE()))+(L103/1000000*VLOOKUP(D103,Rates!$A$4:$C$8,3,FALSE())),0)</f>
        <v>0</v>
      </c>
      <c r="N103" s="4"/>
    </row>
    <row r="104" spans="1:14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5">
        <f>IFERROR((K104/1000000*VLOOKUP(D104,Rates!$A$4:$C$8,2,FALSE()))+(L104/1000000*VLOOKUP(D104,Rates!$A$4:$C$8,3,FALSE())),0)</f>
        <v>0</v>
      </c>
      <c r="N104" s="4"/>
    </row>
    <row r="105" spans="1:14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5">
        <f>IFERROR((K105/1000000*VLOOKUP(D105,Rates!$A$4:$C$8,2,FALSE()))+(L105/1000000*VLOOKUP(D105,Rates!$A$4:$C$8,3,FALSE())),0)</f>
        <v>0</v>
      </c>
      <c r="N105" s="4"/>
    </row>
    <row r="106" spans="1:14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5">
        <f>IFERROR((K106/1000000*VLOOKUP(D106,Rates!$A$4:$C$8,2,FALSE()))+(L106/1000000*VLOOKUP(D106,Rates!$A$4:$C$8,3,FALSE())),0)</f>
        <v>0</v>
      </c>
      <c r="N106" s="4"/>
    </row>
    <row r="107" spans="1:14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5">
        <f>IFERROR((K107/1000000*VLOOKUP(D107,Rates!$A$4:$C$8,2,FALSE()))+(L107/1000000*VLOOKUP(D107,Rates!$A$4:$C$8,3,FALSE())),0)</f>
        <v>0</v>
      </c>
      <c r="N107" s="4"/>
    </row>
    <row r="108" spans="1:14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5">
        <f>IFERROR((K108/1000000*VLOOKUP(D108,Rates!$A$4:$C$8,2,FALSE()))+(L108/1000000*VLOOKUP(D108,Rates!$A$4:$C$8,3,FALSE())),0)</f>
        <v>0</v>
      </c>
      <c r="N108" s="4"/>
    </row>
    <row r="109" spans="1:14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5">
        <f>IFERROR((K109/1000000*VLOOKUP(D109,Rates!$A$4:$C$8,2,FALSE()))+(L109/1000000*VLOOKUP(D109,Rates!$A$4:$C$8,3,FALSE())),0)</f>
        <v>0</v>
      </c>
      <c r="N109" s="4"/>
    </row>
    <row r="110" spans="1:14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5">
        <f>IFERROR((K110/1000000*VLOOKUP(D110,Rates!$A$4:$C$8,2,FALSE()))+(L110/1000000*VLOOKUP(D110,Rates!$A$4:$C$8,3,FALSE())),0)</f>
        <v>0</v>
      </c>
      <c r="N110" s="4"/>
    </row>
    <row r="111" spans="1:14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5">
        <f>IFERROR((K111/1000000*VLOOKUP(D111,Rates!$A$4:$C$8,2,FALSE()))+(L111/1000000*VLOOKUP(D111,Rates!$A$4:$C$8,3,FALSE())),0)</f>
        <v>0</v>
      </c>
      <c r="N111" s="4"/>
    </row>
    <row r="112" spans="1:14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5">
        <f>IFERROR((K112/1000000*VLOOKUP(D112,Rates!$A$4:$C$8,2,FALSE()))+(L112/1000000*VLOOKUP(D112,Rates!$A$4:$C$8,3,FALSE())),0)</f>
        <v>0</v>
      </c>
      <c r="N112" s="4"/>
    </row>
    <row r="113" spans="1:14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5">
        <f>IFERROR((K113/1000000*VLOOKUP(D113,Rates!$A$4:$C$8,2,FALSE()))+(L113/1000000*VLOOKUP(D113,Rates!$A$4:$C$8,3,FALSE())),0)</f>
        <v>0</v>
      </c>
      <c r="N113" s="4"/>
    </row>
    <row r="114" spans="1:14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5">
        <f>IFERROR((K114/1000000*VLOOKUP(D114,Rates!$A$4:$C$8,2,FALSE()))+(L114/1000000*VLOOKUP(D114,Rates!$A$4:$C$8,3,FALSE())),0)</f>
        <v>0</v>
      </c>
      <c r="N114" s="4"/>
    </row>
    <row r="115" spans="1:14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5">
        <f>IFERROR((K115/1000000*VLOOKUP(D115,Rates!$A$4:$C$8,2,FALSE()))+(L115/1000000*VLOOKUP(D115,Rates!$A$4:$C$8,3,FALSE())),0)</f>
        <v>0</v>
      </c>
      <c r="N115" s="4"/>
    </row>
    <row r="116" spans="1:14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5">
        <f>IFERROR((K116/1000000*VLOOKUP(D116,Rates!$A$4:$C$8,2,FALSE()))+(L116/1000000*VLOOKUP(D116,Rates!$A$4:$C$8,3,FALSE())),0)</f>
        <v>0</v>
      </c>
      <c r="N116" s="4"/>
    </row>
    <row r="117" spans="1:14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5">
        <f>IFERROR((K117/1000000*VLOOKUP(D117,Rates!$A$4:$C$8,2,FALSE()))+(L117/1000000*VLOOKUP(D117,Rates!$A$4:$C$8,3,FALSE())),0)</f>
        <v>0</v>
      </c>
      <c r="N117" s="4"/>
    </row>
    <row r="118" spans="1:14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5">
        <f>IFERROR((K118/1000000*VLOOKUP(D118,Rates!$A$4:$C$8,2,FALSE()))+(L118/1000000*VLOOKUP(D118,Rates!$A$4:$C$8,3,FALSE())),0)</f>
        <v>0</v>
      </c>
      <c r="N118" s="4"/>
    </row>
    <row r="119" spans="1:14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5">
        <f>IFERROR((K119/1000000*VLOOKUP(D119,Rates!$A$4:$C$8,2,FALSE()))+(L119/1000000*VLOOKUP(D119,Rates!$A$4:$C$8,3,FALSE())),0)</f>
        <v>0</v>
      </c>
      <c r="N119" s="4"/>
    </row>
    <row r="120" spans="1:14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5">
        <f>IFERROR((K120/1000000*VLOOKUP(D120,Rates!$A$4:$C$8,2,FALSE()))+(L120/1000000*VLOOKUP(D120,Rates!$A$4:$C$8,3,FALSE())),0)</f>
        <v>0</v>
      </c>
      <c r="N120" s="4"/>
    </row>
    <row r="121" spans="1:14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5">
        <f>IFERROR((K121/1000000*VLOOKUP(D121,Rates!$A$4:$C$8,2,FALSE()))+(L121/1000000*VLOOKUP(D121,Rates!$A$4:$C$8,3,FALSE())),0)</f>
        <v>0</v>
      </c>
      <c r="N121" s="4"/>
    </row>
    <row r="122" spans="1:14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5">
        <f>IFERROR((K122/1000000*VLOOKUP(D122,Rates!$A$4:$C$8,2,FALSE()))+(L122/1000000*VLOOKUP(D122,Rates!$A$4:$C$8,3,FALSE())),0)</f>
        <v>0</v>
      </c>
      <c r="N122" s="4"/>
    </row>
    <row r="123" spans="1:14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5">
        <f>IFERROR((K123/1000000*VLOOKUP(D123,Rates!$A$4:$C$8,2,FALSE()))+(L123/1000000*VLOOKUP(D123,Rates!$A$4:$C$8,3,FALSE())),0)</f>
        <v>0</v>
      </c>
      <c r="N123" s="4"/>
    </row>
    <row r="124" spans="1:14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5">
        <f>IFERROR((K124/1000000*VLOOKUP(D124,Rates!$A$4:$C$8,2,FALSE()))+(L124/1000000*VLOOKUP(D124,Rates!$A$4:$C$8,3,FALSE())),0)</f>
        <v>0</v>
      </c>
      <c r="N124" s="4"/>
    </row>
    <row r="125" spans="1:14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5">
        <f>IFERROR((K125/1000000*VLOOKUP(D125,Rates!$A$4:$C$8,2,FALSE()))+(L125/1000000*VLOOKUP(D125,Rates!$A$4:$C$8,3,FALSE())),0)</f>
        <v>0</v>
      </c>
      <c r="N125" s="4"/>
    </row>
    <row r="126" spans="1:14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5">
        <f>IFERROR((K126/1000000*VLOOKUP(D126,Rates!$A$4:$C$8,2,FALSE()))+(L126/1000000*VLOOKUP(D126,Rates!$A$4:$C$8,3,FALSE())),0)</f>
        <v>0</v>
      </c>
      <c r="N126" s="4"/>
    </row>
    <row r="127" spans="1:14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5">
        <f>IFERROR((K127/1000000*VLOOKUP(D127,Rates!$A$4:$C$8,2,FALSE()))+(L127/1000000*VLOOKUP(D127,Rates!$A$4:$C$8,3,FALSE())),0)</f>
        <v>0</v>
      </c>
      <c r="N127" s="4"/>
    </row>
    <row r="128" spans="1:14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5">
        <f>IFERROR((K128/1000000*VLOOKUP(D128,Rates!$A$4:$C$8,2,FALSE()))+(L128/1000000*VLOOKUP(D128,Rates!$A$4:$C$8,3,FALSE())),0)</f>
        <v>0</v>
      </c>
      <c r="N128" s="4"/>
    </row>
    <row r="129" spans="1:14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5">
        <f>IFERROR((K129/1000000*VLOOKUP(D129,Rates!$A$4:$C$8,2,FALSE()))+(L129/1000000*VLOOKUP(D129,Rates!$A$4:$C$8,3,FALSE())),0)</f>
        <v>0</v>
      </c>
      <c r="N129" s="4"/>
    </row>
    <row r="130" spans="1:14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5">
        <f>IFERROR((K130/1000000*VLOOKUP(D130,Rates!$A$4:$C$8,2,FALSE()))+(L130/1000000*VLOOKUP(D130,Rates!$A$4:$C$8,3,FALSE())),0)</f>
        <v>0</v>
      </c>
      <c r="N130" s="4"/>
    </row>
    <row r="131" spans="1:14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5">
        <f>IFERROR((K131/1000000*VLOOKUP(D131,Rates!$A$4:$C$8,2,FALSE()))+(L131/1000000*VLOOKUP(D131,Rates!$A$4:$C$8,3,FALSE())),0)</f>
        <v>0</v>
      </c>
      <c r="N131" s="4"/>
    </row>
    <row r="132" spans="1:14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5">
        <f>IFERROR((K132/1000000*VLOOKUP(D132,Rates!$A$4:$C$8,2,FALSE()))+(L132/1000000*VLOOKUP(D132,Rates!$A$4:$C$8,3,FALSE())),0)</f>
        <v>0</v>
      </c>
      <c r="N132" s="4"/>
    </row>
    <row r="133" spans="1:14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5">
        <f>IFERROR((K133/1000000*VLOOKUP(D133,Rates!$A$4:$C$8,2,FALSE()))+(L133/1000000*VLOOKUP(D133,Rates!$A$4:$C$8,3,FALSE())),0)</f>
        <v>0</v>
      </c>
      <c r="N133" s="4"/>
    </row>
    <row r="134" spans="1:14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5">
        <f>IFERROR((K134/1000000*VLOOKUP(D134,Rates!$A$4:$C$8,2,FALSE()))+(L134/1000000*VLOOKUP(D134,Rates!$A$4:$C$8,3,FALSE())),0)</f>
        <v>0</v>
      </c>
      <c r="N134" s="4"/>
    </row>
    <row r="135" spans="1:14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5">
        <f>IFERROR((K135/1000000*VLOOKUP(D135,Rates!$A$4:$C$8,2,FALSE()))+(L135/1000000*VLOOKUP(D135,Rates!$A$4:$C$8,3,FALSE())),0)</f>
        <v>0</v>
      </c>
      <c r="N135" s="4"/>
    </row>
    <row r="136" spans="1:14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5">
        <f>IFERROR((K136/1000000*VLOOKUP(D136,Rates!$A$4:$C$8,2,FALSE()))+(L136/1000000*VLOOKUP(D136,Rates!$A$4:$C$8,3,FALSE())),0)</f>
        <v>0</v>
      </c>
      <c r="N136" s="4"/>
    </row>
    <row r="137" spans="1:14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5">
        <f>IFERROR((K137/1000000*VLOOKUP(D137,Rates!$A$4:$C$8,2,FALSE()))+(L137/1000000*VLOOKUP(D137,Rates!$A$4:$C$8,3,FALSE())),0)</f>
        <v>0</v>
      </c>
      <c r="N137" s="4"/>
    </row>
    <row r="138" spans="1:14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5">
        <f>IFERROR((K138/1000000*VLOOKUP(D138,Rates!$A$4:$C$8,2,FALSE()))+(L138/1000000*VLOOKUP(D138,Rates!$A$4:$C$8,3,FALSE())),0)</f>
        <v>0</v>
      </c>
      <c r="N138" s="4"/>
    </row>
    <row r="139" spans="1:14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5">
        <f>IFERROR((K139/1000000*VLOOKUP(D139,Rates!$A$4:$C$8,2,FALSE()))+(L139/1000000*VLOOKUP(D139,Rates!$A$4:$C$8,3,FALSE())),0)</f>
        <v>0</v>
      </c>
      <c r="N139" s="4"/>
    </row>
    <row r="140" spans="1:14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5">
        <f>IFERROR((K140/1000000*VLOOKUP(D140,Rates!$A$4:$C$8,2,FALSE()))+(L140/1000000*VLOOKUP(D140,Rates!$A$4:$C$8,3,FALSE())),0)</f>
        <v>0</v>
      </c>
      <c r="N140" s="4"/>
    </row>
    <row r="141" spans="1:14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5">
        <f>IFERROR((K141/1000000*VLOOKUP(D141,Rates!$A$4:$C$8,2,FALSE()))+(L141/1000000*VLOOKUP(D141,Rates!$A$4:$C$8,3,FALSE())),0)</f>
        <v>0</v>
      </c>
      <c r="N141" s="4"/>
    </row>
    <row r="142" spans="1:14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5">
        <f>IFERROR((K142/1000000*VLOOKUP(D142,Rates!$A$4:$C$8,2,FALSE()))+(L142/1000000*VLOOKUP(D142,Rates!$A$4:$C$8,3,FALSE())),0)</f>
        <v>0</v>
      </c>
      <c r="N142" s="4"/>
    </row>
    <row r="143" spans="1:14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5">
        <f>IFERROR((K143/1000000*VLOOKUP(D143,Rates!$A$4:$C$8,2,FALSE()))+(L143/1000000*VLOOKUP(D143,Rates!$A$4:$C$8,3,FALSE())),0)</f>
        <v>0</v>
      </c>
      <c r="N143" s="4"/>
    </row>
    <row r="144" spans="1:14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5">
        <f>IFERROR((K144/1000000*VLOOKUP(D144,Rates!$A$4:$C$8,2,FALSE()))+(L144/1000000*VLOOKUP(D144,Rates!$A$4:$C$8,3,FALSE())),0)</f>
        <v>0</v>
      </c>
      <c r="N144" s="4"/>
    </row>
    <row r="145" spans="1:14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5">
        <f>IFERROR((K145/1000000*VLOOKUP(D145,Rates!$A$4:$C$8,2,FALSE()))+(L145/1000000*VLOOKUP(D145,Rates!$A$4:$C$8,3,FALSE())),0)</f>
        <v>0</v>
      </c>
      <c r="N145" s="4"/>
    </row>
    <row r="146" spans="1:14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5">
        <f>IFERROR((K146/1000000*VLOOKUP(D146,Rates!$A$4:$C$8,2,FALSE()))+(L146/1000000*VLOOKUP(D146,Rates!$A$4:$C$8,3,FALSE())),0)</f>
        <v>0</v>
      </c>
      <c r="N146" s="4"/>
    </row>
    <row r="147" spans="1:14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5">
        <f>IFERROR((K147/1000000*VLOOKUP(D147,Rates!$A$4:$C$8,2,FALSE()))+(L147/1000000*VLOOKUP(D147,Rates!$A$4:$C$8,3,FALSE())),0)</f>
        <v>0</v>
      </c>
      <c r="N147" s="4"/>
    </row>
    <row r="148" spans="1:14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5">
        <f>IFERROR((K148/1000000*VLOOKUP(D148,Rates!$A$4:$C$8,2,FALSE()))+(L148/1000000*VLOOKUP(D148,Rates!$A$4:$C$8,3,FALSE())),0)</f>
        <v>0</v>
      </c>
      <c r="N148" s="4"/>
    </row>
    <row r="149" spans="1:14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5">
        <f>IFERROR((K149/1000000*VLOOKUP(D149,Rates!$A$4:$C$8,2,FALSE()))+(L149/1000000*VLOOKUP(D149,Rates!$A$4:$C$8,3,FALSE())),0)</f>
        <v>0</v>
      </c>
      <c r="N149" s="4"/>
    </row>
    <row r="150" spans="1:14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5">
        <f>IFERROR((K150/1000000*VLOOKUP(D150,Rates!$A$4:$C$8,2,FALSE()))+(L150/1000000*VLOOKUP(D150,Rates!$A$4:$C$8,3,FALSE())),0)</f>
        <v>0</v>
      </c>
      <c r="N150" s="4"/>
    </row>
    <row r="151" spans="1:14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5">
        <f>IFERROR((K151/1000000*VLOOKUP(D151,Rates!$A$4:$C$8,2,FALSE()))+(L151/1000000*VLOOKUP(D151,Rates!$A$4:$C$8,3,FALSE())),0)</f>
        <v>0</v>
      </c>
      <c r="N151" s="4"/>
    </row>
    <row r="152" spans="1:14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5">
        <f>IFERROR((K152/1000000*VLOOKUP(D152,Rates!$A$4:$C$8,2,FALSE()))+(L152/1000000*VLOOKUP(D152,Rates!$A$4:$C$8,3,FALSE())),0)</f>
        <v>0</v>
      </c>
      <c r="N152" s="4"/>
    </row>
    <row r="153" spans="1:14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5">
        <f>IFERROR((K153/1000000*VLOOKUP(D153,Rates!$A$4:$C$8,2,FALSE()))+(L153/1000000*VLOOKUP(D153,Rates!$A$4:$C$8,3,FALSE())),0)</f>
        <v>0</v>
      </c>
      <c r="N153" s="4"/>
    </row>
    <row r="154" spans="1:14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5">
        <f>IFERROR((K154/1000000*VLOOKUP(D154,Rates!$A$4:$C$8,2,FALSE()))+(L154/1000000*VLOOKUP(D154,Rates!$A$4:$C$8,3,FALSE())),0)</f>
        <v>0</v>
      </c>
      <c r="N154" s="4"/>
    </row>
    <row r="155" spans="1:14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5">
        <f>IFERROR((K155/1000000*VLOOKUP(D155,Rates!$A$4:$C$8,2,FALSE()))+(L155/1000000*VLOOKUP(D155,Rates!$A$4:$C$8,3,FALSE())),0)</f>
        <v>0</v>
      </c>
      <c r="N155" s="4"/>
    </row>
    <row r="156" spans="1:14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5">
        <f>IFERROR((K156/1000000*VLOOKUP(D156,Rates!$A$4:$C$8,2,FALSE()))+(L156/1000000*VLOOKUP(D156,Rates!$A$4:$C$8,3,FALSE())),0)</f>
        <v>0</v>
      </c>
      <c r="N156" s="4"/>
    </row>
    <row r="157" spans="1:14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5">
        <f>IFERROR((K157/1000000*VLOOKUP(D157,Rates!$A$4:$C$8,2,FALSE()))+(L157/1000000*VLOOKUP(D157,Rates!$A$4:$C$8,3,FALSE())),0)</f>
        <v>0</v>
      </c>
      <c r="N157" s="4"/>
    </row>
    <row r="158" spans="1:14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5">
        <f>IFERROR((K158/1000000*VLOOKUP(D158,Rates!$A$4:$C$8,2,FALSE()))+(L158/1000000*VLOOKUP(D158,Rates!$A$4:$C$8,3,FALSE())),0)</f>
        <v>0</v>
      </c>
      <c r="N158" s="4"/>
    </row>
    <row r="159" spans="1:14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5">
        <f>IFERROR((K159/1000000*VLOOKUP(D159,Rates!$A$4:$C$8,2,FALSE()))+(L159/1000000*VLOOKUP(D159,Rates!$A$4:$C$8,3,FALSE())),0)</f>
        <v>0</v>
      </c>
      <c r="N159" s="4"/>
    </row>
    <row r="160" spans="1:14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5">
        <f>IFERROR((K160/1000000*VLOOKUP(D160,Rates!$A$4:$C$8,2,FALSE()))+(L160/1000000*VLOOKUP(D160,Rates!$A$4:$C$8,3,FALSE())),0)</f>
        <v>0</v>
      </c>
      <c r="N160" s="4"/>
    </row>
    <row r="161" spans="1:14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5">
        <f>IFERROR((K161/1000000*VLOOKUP(D161,Rates!$A$4:$C$8,2,FALSE()))+(L161/1000000*VLOOKUP(D161,Rates!$A$4:$C$8,3,FALSE())),0)</f>
        <v>0</v>
      </c>
      <c r="N161" s="4"/>
    </row>
    <row r="162" spans="1:14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5">
        <f>IFERROR((K162/1000000*VLOOKUP(D162,Rates!$A$4:$C$8,2,FALSE()))+(L162/1000000*VLOOKUP(D162,Rates!$A$4:$C$8,3,FALSE())),0)</f>
        <v>0</v>
      </c>
      <c r="N162" s="4"/>
    </row>
    <row r="163" spans="1:14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5">
        <f>IFERROR((K163/1000000*VLOOKUP(D163,Rates!$A$4:$C$8,2,FALSE()))+(L163/1000000*VLOOKUP(D163,Rates!$A$4:$C$8,3,FALSE())),0)</f>
        <v>0</v>
      </c>
      <c r="N163" s="4"/>
    </row>
    <row r="164" spans="1:14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5">
        <f>IFERROR((K164/1000000*VLOOKUP(D164,Rates!$A$4:$C$8,2,FALSE()))+(L164/1000000*VLOOKUP(D164,Rates!$A$4:$C$8,3,FALSE())),0)</f>
        <v>0</v>
      </c>
      <c r="N164" s="4"/>
    </row>
    <row r="165" spans="1:14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5">
        <f>IFERROR((K165/1000000*VLOOKUP(D165,Rates!$A$4:$C$8,2,FALSE()))+(L165/1000000*VLOOKUP(D165,Rates!$A$4:$C$8,3,FALSE())),0)</f>
        <v>0</v>
      </c>
      <c r="N165" s="4"/>
    </row>
    <row r="166" spans="1:14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5">
        <f>IFERROR((K166/1000000*VLOOKUP(D166,Rates!$A$4:$C$8,2,FALSE()))+(L166/1000000*VLOOKUP(D166,Rates!$A$4:$C$8,3,FALSE())),0)</f>
        <v>0</v>
      </c>
      <c r="N166" s="4"/>
    </row>
    <row r="167" spans="1:14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5">
        <f>IFERROR((K167/1000000*VLOOKUP(D167,Rates!$A$4:$C$8,2,FALSE()))+(L167/1000000*VLOOKUP(D167,Rates!$A$4:$C$8,3,FALSE())),0)</f>
        <v>0</v>
      </c>
      <c r="N167" s="4"/>
    </row>
    <row r="168" spans="1:14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5">
        <f>IFERROR((K168/1000000*VLOOKUP(D168,Rates!$A$4:$C$8,2,FALSE()))+(L168/1000000*VLOOKUP(D168,Rates!$A$4:$C$8,3,FALSE())),0)</f>
        <v>0</v>
      </c>
      <c r="N168" s="4"/>
    </row>
    <row r="169" spans="1:14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5">
        <f>IFERROR((K169/1000000*VLOOKUP(D169,Rates!$A$4:$C$8,2,FALSE()))+(L169/1000000*VLOOKUP(D169,Rates!$A$4:$C$8,3,FALSE())),0)</f>
        <v>0</v>
      </c>
      <c r="N169" s="4"/>
    </row>
    <row r="170" spans="1:14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5">
        <f>IFERROR((K170/1000000*VLOOKUP(D170,Rates!$A$4:$C$8,2,FALSE()))+(L170/1000000*VLOOKUP(D170,Rates!$A$4:$C$8,3,FALSE())),0)</f>
        <v>0</v>
      </c>
      <c r="N170" s="4"/>
    </row>
    <row r="171" spans="1:14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5">
        <f>IFERROR((K171/1000000*VLOOKUP(D171,Rates!$A$4:$C$8,2,FALSE()))+(L171/1000000*VLOOKUP(D171,Rates!$A$4:$C$8,3,FALSE())),0)</f>
        <v>0</v>
      </c>
      <c r="N171" s="4"/>
    </row>
    <row r="172" spans="1:14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5">
        <f>IFERROR((K172/1000000*VLOOKUP(D172,Rates!$A$4:$C$8,2,FALSE()))+(L172/1000000*VLOOKUP(D172,Rates!$A$4:$C$8,3,FALSE())),0)</f>
        <v>0</v>
      </c>
      <c r="N172" s="4"/>
    </row>
    <row r="173" spans="1:14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5">
        <f>IFERROR((K173/1000000*VLOOKUP(D173,Rates!$A$4:$C$8,2,FALSE()))+(L173/1000000*VLOOKUP(D173,Rates!$A$4:$C$8,3,FALSE())),0)</f>
        <v>0</v>
      </c>
      <c r="N173" s="4"/>
    </row>
    <row r="174" spans="1:14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5">
        <f>IFERROR((K174/1000000*VLOOKUP(D174,Rates!$A$4:$C$8,2,FALSE()))+(L174/1000000*VLOOKUP(D174,Rates!$A$4:$C$8,3,FALSE())),0)</f>
        <v>0</v>
      </c>
      <c r="N174" s="4"/>
    </row>
    <row r="175" spans="1:14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5">
        <f>IFERROR((K175/1000000*VLOOKUP(D175,Rates!$A$4:$C$8,2,FALSE()))+(L175/1000000*VLOOKUP(D175,Rates!$A$4:$C$8,3,FALSE())),0)</f>
        <v>0</v>
      </c>
      <c r="N175" s="4"/>
    </row>
    <row r="176" spans="1:14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5">
        <f>IFERROR((K176/1000000*VLOOKUP(D176,Rates!$A$4:$C$8,2,FALSE()))+(L176/1000000*VLOOKUP(D176,Rates!$A$4:$C$8,3,FALSE())),0)</f>
        <v>0</v>
      </c>
      <c r="N176" s="4"/>
    </row>
    <row r="177" spans="1:14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5">
        <f>IFERROR((K177/1000000*VLOOKUP(D177,Rates!$A$4:$C$8,2,FALSE()))+(L177/1000000*VLOOKUP(D177,Rates!$A$4:$C$8,3,FALSE())),0)</f>
        <v>0</v>
      </c>
      <c r="N177" s="4"/>
    </row>
    <row r="178" spans="1:14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5">
        <f>IFERROR((K178/1000000*VLOOKUP(D178,Rates!$A$4:$C$8,2,FALSE()))+(L178/1000000*VLOOKUP(D178,Rates!$A$4:$C$8,3,FALSE())),0)</f>
        <v>0</v>
      </c>
      <c r="N178" s="4"/>
    </row>
    <row r="179" spans="1:14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5">
        <f>IFERROR((K179/1000000*VLOOKUP(D179,Rates!$A$4:$C$8,2,FALSE()))+(L179/1000000*VLOOKUP(D179,Rates!$A$4:$C$8,3,FALSE())),0)</f>
        <v>0</v>
      </c>
      <c r="N179" s="4"/>
    </row>
    <row r="180" spans="1:14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5">
        <f>IFERROR((K180/1000000*VLOOKUP(D180,Rates!$A$4:$C$8,2,FALSE()))+(L180/1000000*VLOOKUP(D180,Rates!$A$4:$C$8,3,FALSE())),0)</f>
        <v>0</v>
      </c>
      <c r="N180" s="4"/>
    </row>
    <row r="181" spans="1:14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5">
        <f>IFERROR((K181/1000000*VLOOKUP(D181,Rates!$A$4:$C$8,2,FALSE()))+(L181/1000000*VLOOKUP(D181,Rates!$A$4:$C$8,3,FALSE())),0)</f>
        <v>0</v>
      </c>
      <c r="N181" s="4"/>
    </row>
    <row r="182" spans="1:14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5">
        <f>IFERROR((K182/1000000*VLOOKUP(D182,Rates!$A$4:$C$8,2,FALSE()))+(L182/1000000*VLOOKUP(D182,Rates!$A$4:$C$8,3,FALSE())),0)</f>
        <v>0</v>
      </c>
      <c r="N182" s="4"/>
    </row>
    <row r="183" spans="1:14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5">
        <f>IFERROR((K183/1000000*VLOOKUP(D183,Rates!$A$4:$C$8,2,FALSE()))+(L183/1000000*VLOOKUP(D183,Rates!$A$4:$C$8,3,FALSE())),0)</f>
        <v>0</v>
      </c>
      <c r="N183" s="4"/>
    </row>
    <row r="184" spans="1:14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5">
        <f>IFERROR((K184/1000000*VLOOKUP(D184,Rates!$A$4:$C$8,2,FALSE()))+(L184/1000000*VLOOKUP(D184,Rates!$A$4:$C$8,3,FALSE())),0)</f>
        <v>0</v>
      </c>
      <c r="N184" s="4"/>
    </row>
    <row r="185" spans="1:14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5">
        <f>IFERROR((K185/1000000*VLOOKUP(D185,Rates!$A$4:$C$8,2,FALSE()))+(L185/1000000*VLOOKUP(D185,Rates!$A$4:$C$8,3,FALSE())),0)</f>
        <v>0</v>
      </c>
      <c r="N185" s="4"/>
    </row>
    <row r="186" spans="1:14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5">
        <f>IFERROR((K186/1000000*VLOOKUP(D186,Rates!$A$4:$C$8,2,FALSE()))+(L186/1000000*VLOOKUP(D186,Rates!$A$4:$C$8,3,FALSE())),0)</f>
        <v>0</v>
      </c>
      <c r="N186" s="4"/>
    </row>
    <row r="187" spans="1:14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5">
        <f>IFERROR((K187/1000000*VLOOKUP(D187,Rates!$A$4:$C$8,2,FALSE()))+(L187/1000000*VLOOKUP(D187,Rates!$A$4:$C$8,3,FALSE())),0)</f>
        <v>0</v>
      </c>
      <c r="N187" s="4"/>
    </row>
    <row r="188" spans="1:14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5">
        <f>IFERROR((K188/1000000*VLOOKUP(D188,Rates!$A$4:$C$8,2,FALSE()))+(L188/1000000*VLOOKUP(D188,Rates!$A$4:$C$8,3,FALSE())),0)</f>
        <v>0</v>
      </c>
      <c r="N188" s="4"/>
    </row>
    <row r="189" spans="1:14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5">
        <f>IFERROR((K189/1000000*VLOOKUP(D189,Rates!$A$4:$C$8,2,FALSE()))+(L189/1000000*VLOOKUP(D189,Rates!$A$4:$C$8,3,FALSE())),0)</f>
        <v>0</v>
      </c>
      <c r="N189" s="4"/>
    </row>
    <row r="190" spans="1:14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5">
        <f>IFERROR((K190/1000000*VLOOKUP(D190,Rates!$A$4:$C$8,2,FALSE()))+(L190/1000000*VLOOKUP(D190,Rates!$A$4:$C$8,3,FALSE())),0)</f>
        <v>0</v>
      </c>
      <c r="N190" s="4"/>
    </row>
    <row r="191" spans="1:14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5">
        <f>IFERROR((K191/1000000*VLOOKUP(D191,Rates!$A$4:$C$8,2,FALSE()))+(L191/1000000*VLOOKUP(D191,Rates!$A$4:$C$8,3,FALSE())),0)</f>
        <v>0</v>
      </c>
      <c r="N191" s="4"/>
    </row>
    <row r="192" spans="1:14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5">
        <f>IFERROR((K192/1000000*VLOOKUP(D192,Rates!$A$4:$C$8,2,FALSE()))+(L192/1000000*VLOOKUP(D192,Rates!$A$4:$C$8,3,FALSE())),0)</f>
        <v>0</v>
      </c>
      <c r="N192" s="4"/>
    </row>
    <row r="193" spans="1:14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5">
        <f>IFERROR((K193/1000000*VLOOKUP(D193,Rates!$A$4:$C$8,2,FALSE()))+(L193/1000000*VLOOKUP(D193,Rates!$A$4:$C$8,3,FALSE())),0)</f>
        <v>0</v>
      </c>
      <c r="N193" s="4"/>
    </row>
    <row r="194" spans="1:14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5">
        <f>IFERROR((K194/1000000*VLOOKUP(D194,Rates!$A$4:$C$8,2,FALSE()))+(L194/1000000*VLOOKUP(D194,Rates!$A$4:$C$8,3,FALSE())),0)</f>
        <v>0</v>
      </c>
      <c r="N194" s="4"/>
    </row>
    <row r="195" spans="1:14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5">
        <f>IFERROR((K195/1000000*VLOOKUP(D195,Rates!$A$4:$C$8,2,FALSE()))+(L195/1000000*VLOOKUP(D195,Rates!$A$4:$C$8,3,FALSE())),0)</f>
        <v>0</v>
      </c>
      <c r="N195" s="4"/>
    </row>
    <row r="196" spans="1:14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5">
        <f>IFERROR((K196/1000000*VLOOKUP(D196,Rates!$A$4:$C$8,2,FALSE()))+(L196/1000000*VLOOKUP(D196,Rates!$A$4:$C$8,3,FALSE())),0)</f>
        <v>0</v>
      </c>
      <c r="N196" s="4"/>
    </row>
    <row r="197" spans="1:14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5">
        <f>IFERROR((K197/1000000*VLOOKUP(D197,Rates!$A$4:$C$8,2,FALSE()))+(L197/1000000*VLOOKUP(D197,Rates!$A$4:$C$8,3,FALSE())),0)</f>
        <v>0</v>
      </c>
      <c r="N197" s="4"/>
    </row>
    <row r="198" spans="1:14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5">
        <f>IFERROR((K198/1000000*VLOOKUP(D198,Rates!$A$4:$C$8,2,FALSE()))+(L198/1000000*VLOOKUP(D198,Rates!$A$4:$C$8,3,FALSE())),0)</f>
        <v>0</v>
      </c>
      <c r="N198" s="4"/>
    </row>
    <row r="199" spans="1:14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5">
        <f>IFERROR((K199/1000000*VLOOKUP(D199,Rates!$A$4:$C$8,2,FALSE()))+(L199/1000000*VLOOKUP(D199,Rates!$A$4:$C$8,3,FALSE())),0)</f>
        <v>0</v>
      </c>
      <c r="N199" s="4"/>
    </row>
    <row r="200" spans="1:14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5">
        <f>IFERROR((K200/1000000*VLOOKUP(D200,Rates!$A$4:$C$8,2,FALSE()))+(L200/1000000*VLOOKUP(D200,Rates!$A$4:$C$8,3,FALSE())),0)</f>
        <v>0</v>
      </c>
      <c r="N200" s="4"/>
    </row>
    <row r="201" spans="1:14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5">
        <f>IFERROR((K201/1000000*VLOOKUP(D201,Rates!$A$4:$C$8,2,FALSE()))+(L201/1000000*VLOOKUP(D201,Rates!$A$4:$C$8,3,FALSE())),0)</f>
        <v>0</v>
      </c>
      <c r="N201" s="4"/>
    </row>
    <row r="202" spans="1:14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5">
        <f>IFERROR((K202/1000000*VLOOKUP(D202,Rates!$A$4:$C$8,2,FALSE()))+(L202/1000000*VLOOKUP(D202,Rates!$A$4:$C$8,3,FALSE())),0)</f>
        <v>0</v>
      </c>
      <c r="N202" s="4"/>
    </row>
    <row r="203" spans="1:14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5">
        <f>IFERROR((K203/1000000*VLOOKUP(D203,Rates!$A$4:$C$8,2,FALSE()))+(L203/1000000*VLOOKUP(D203,Rates!$A$4:$C$8,3,FALSE())),0)</f>
        <v>0</v>
      </c>
      <c r="N203" s="4"/>
    </row>
    <row r="204" spans="1:14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5">
        <f>IFERROR((K204/1000000*VLOOKUP(D204,Rates!$A$4:$C$8,2,FALSE()))+(L204/1000000*VLOOKUP(D204,Rates!$A$4:$C$8,3,FALSE())),0)</f>
        <v>0</v>
      </c>
      <c r="N204" s="4"/>
    </row>
    <row r="205" spans="1:14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5">
        <f>IFERROR((K205/1000000*VLOOKUP(D205,Rates!$A$4:$C$8,2,FALSE()))+(L205/1000000*VLOOKUP(D205,Rates!$A$4:$C$8,3,FALSE())),0)</f>
        <v>0</v>
      </c>
      <c r="N205" s="4"/>
    </row>
    <row r="206" spans="1:14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5">
        <f>IFERROR((K206/1000000*VLOOKUP(D206,Rates!$A$4:$C$8,2,FALSE()))+(L206/1000000*VLOOKUP(D206,Rates!$A$4:$C$8,3,FALSE())),0)</f>
        <v>0</v>
      </c>
      <c r="N206" s="4"/>
    </row>
    <row r="207" spans="1:14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5">
        <f>IFERROR((K207/1000000*VLOOKUP(D207,Rates!$A$4:$C$8,2,FALSE()))+(L207/1000000*VLOOKUP(D207,Rates!$A$4:$C$8,3,FALSE())),0)</f>
        <v>0</v>
      </c>
      <c r="N207" s="4"/>
    </row>
    <row r="208" spans="1:14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5">
        <f>IFERROR((K208/1000000*VLOOKUP(D208,Rates!$A$4:$C$8,2,FALSE()))+(L208/1000000*VLOOKUP(D208,Rates!$A$4:$C$8,3,FALSE())),0)</f>
        <v>0</v>
      </c>
      <c r="N208" s="4"/>
    </row>
    <row r="209" spans="1:14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5">
        <f>IFERROR((K209/1000000*VLOOKUP(D209,Rates!$A$4:$C$8,2,FALSE()))+(L209/1000000*VLOOKUP(D209,Rates!$A$4:$C$8,3,FALSE())),0)</f>
        <v>0</v>
      </c>
      <c r="N209" s="4"/>
    </row>
    <row r="210" spans="1:14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5">
        <f>IFERROR((K210/1000000*VLOOKUP(D210,Rates!$A$4:$C$8,2,FALSE()))+(L210/1000000*VLOOKUP(D210,Rates!$A$4:$C$8,3,FALSE())),0)</f>
        <v>0</v>
      </c>
      <c r="N210" s="4"/>
    </row>
    <row r="211" spans="1:14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5">
        <f>IFERROR((K211/1000000*VLOOKUP(D211,Rates!$A$4:$C$8,2,FALSE()))+(L211/1000000*VLOOKUP(D211,Rates!$A$4:$C$8,3,FALSE())),0)</f>
        <v>0</v>
      </c>
      <c r="N211" s="4"/>
    </row>
    <row r="212" spans="1:14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5">
        <f>IFERROR((K212/1000000*VLOOKUP(D212,Rates!$A$4:$C$8,2,FALSE()))+(L212/1000000*VLOOKUP(D212,Rates!$A$4:$C$8,3,FALSE())),0)</f>
        <v>0</v>
      </c>
      <c r="N212" s="4"/>
    </row>
    <row r="213" spans="1:14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5">
        <f>IFERROR((K213/1000000*VLOOKUP(D213,Rates!$A$4:$C$8,2,FALSE()))+(L213/1000000*VLOOKUP(D213,Rates!$A$4:$C$8,3,FALSE())),0)</f>
        <v>0</v>
      </c>
      <c r="N213" s="4"/>
    </row>
    <row r="214" spans="1:14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5">
        <f>IFERROR((K214/1000000*VLOOKUP(D214,Rates!$A$4:$C$8,2,FALSE()))+(L214/1000000*VLOOKUP(D214,Rates!$A$4:$C$8,3,FALSE())),0)</f>
        <v>0</v>
      </c>
      <c r="N214" s="4"/>
    </row>
    <row r="215" spans="1:14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5">
        <f>IFERROR((K215/1000000*VLOOKUP(D215,Rates!$A$4:$C$8,2,FALSE()))+(L215/1000000*VLOOKUP(D215,Rates!$A$4:$C$8,3,FALSE())),0)</f>
        <v>0</v>
      </c>
      <c r="N215" s="4"/>
    </row>
    <row r="216" spans="1:14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5">
        <f>IFERROR((K216/1000000*VLOOKUP(D216,Rates!$A$4:$C$8,2,FALSE()))+(L216/1000000*VLOOKUP(D216,Rates!$A$4:$C$8,3,FALSE())),0)</f>
        <v>0</v>
      </c>
      <c r="N216" s="4"/>
    </row>
    <row r="217" spans="1:14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5">
        <f>IFERROR((K217/1000000*VLOOKUP(D217,Rates!$A$4:$C$8,2,FALSE()))+(L217/1000000*VLOOKUP(D217,Rates!$A$4:$C$8,3,FALSE())),0)</f>
        <v>0</v>
      </c>
      <c r="N217" s="4"/>
    </row>
    <row r="218" spans="1:14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5">
        <f>IFERROR((K218/1000000*VLOOKUP(D218,Rates!$A$4:$C$8,2,FALSE()))+(L218/1000000*VLOOKUP(D218,Rates!$A$4:$C$8,3,FALSE())),0)</f>
        <v>0</v>
      </c>
      <c r="N218" s="4"/>
    </row>
    <row r="219" spans="1:14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5">
        <f>IFERROR((K219/1000000*VLOOKUP(D219,Rates!$A$4:$C$8,2,FALSE()))+(L219/1000000*VLOOKUP(D219,Rates!$A$4:$C$8,3,FALSE())),0)</f>
        <v>0</v>
      </c>
      <c r="N219" s="4"/>
    </row>
    <row r="220" spans="1:14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5">
        <f>IFERROR((K220/1000000*VLOOKUP(D220,Rates!$A$4:$C$8,2,FALSE()))+(L220/1000000*VLOOKUP(D220,Rates!$A$4:$C$8,3,FALSE())),0)</f>
        <v>0</v>
      </c>
      <c r="N220" s="4"/>
    </row>
    <row r="221" spans="1:14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5">
        <f>IFERROR((K221/1000000*VLOOKUP(D221,Rates!$A$4:$C$8,2,FALSE()))+(L221/1000000*VLOOKUP(D221,Rates!$A$4:$C$8,3,FALSE())),0)</f>
        <v>0</v>
      </c>
      <c r="N221" s="4"/>
    </row>
    <row r="222" spans="1:14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5">
        <f>IFERROR((K222/1000000*VLOOKUP(D222,Rates!$A$4:$C$8,2,FALSE()))+(L222/1000000*VLOOKUP(D222,Rates!$A$4:$C$8,3,FALSE())),0)</f>
        <v>0</v>
      </c>
      <c r="N222" s="4"/>
    </row>
    <row r="223" spans="1:14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5">
        <f>IFERROR((K223/1000000*VLOOKUP(D223,Rates!$A$4:$C$8,2,FALSE()))+(L223/1000000*VLOOKUP(D223,Rates!$A$4:$C$8,3,FALSE())),0)</f>
        <v>0</v>
      </c>
      <c r="N223" s="4"/>
    </row>
    <row r="224" spans="1:14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5">
        <f>IFERROR((K224/1000000*VLOOKUP(D224,Rates!$A$4:$C$8,2,FALSE()))+(L224/1000000*VLOOKUP(D224,Rates!$A$4:$C$8,3,FALSE())),0)</f>
        <v>0</v>
      </c>
      <c r="N224" s="4"/>
    </row>
    <row r="225" spans="1:14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5">
        <f>IFERROR((K225/1000000*VLOOKUP(D225,Rates!$A$4:$C$8,2,FALSE()))+(L225/1000000*VLOOKUP(D225,Rates!$A$4:$C$8,3,FALSE())),0)</f>
        <v>0</v>
      </c>
      <c r="N225" s="4"/>
    </row>
    <row r="226" spans="1:14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5">
        <f>IFERROR((K226/1000000*VLOOKUP(D226,Rates!$A$4:$C$8,2,FALSE()))+(L226/1000000*VLOOKUP(D226,Rates!$A$4:$C$8,3,FALSE())),0)</f>
        <v>0</v>
      </c>
      <c r="N226" s="4"/>
    </row>
    <row r="227" spans="1:14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5">
        <f>IFERROR((K227/1000000*VLOOKUP(D227,Rates!$A$4:$C$8,2,FALSE()))+(L227/1000000*VLOOKUP(D227,Rates!$A$4:$C$8,3,FALSE())),0)</f>
        <v>0</v>
      </c>
      <c r="N227" s="4"/>
    </row>
    <row r="228" spans="1:14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5">
        <f>IFERROR((K228/1000000*VLOOKUP(D228,Rates!$A$4:$C$8,2,FALSE()))+(L228/1000000*VLOOKUP(D228,Rates!$A$4:$C$8,3,FALSE())),0)</f>
        <v>0</v>
      </c>
      <c r="N228" s="4"/>
    </row>
    <row r="229" spans="1:14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5">
        <f>IFERROR((K229/1000000*VLOOKUP(D229,Rates!$A$4:$C$8,2,FALSE()))+(L229/1000000*VLOOKUP(D229,Rates!$A$4:$C$8,3,FALSE())),0)</f>
        <v>0</v>
      </c>
      <c r="N229" s="4"/>
    </row>
    <row r="230" spans="1:14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5">
        <f>IFERROR((K230/1000000*VLOOKUP(D230,Rates!$A$4:$C$8,2,FALSE()))+(L230/1000000*VLOOKUP(D230,Rates!$A$4:$C$8,3,FALSE())),0)</f>
        <v>0</v>
      </c>
      <c r="N230" s="4"/>
    </row>
    <row r="231" spans="1:14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5">
        <f>IFERROR((K231/1000000*VLOOKUP(D231,Rates!$A$4:$C$8,2,FALSE()))+(L231/1000000*VLOOKUP(D231,Rates!$A$4:$C$8,3,FALSE())),0)</f>
        <v>0</v>
      </c>
      <c r="N231" s="4"/>
    </row>
    <row r="232" spans="1:14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5">
        <f>IFERROR((K232/1000000*VLOOKUP(D232,Rates!$A$4:$C$8,2,FALSE()))+(L232/1000000*VLOOKUP(D232,Rates!$A$4:$C$8,3,FALSE())),0)</f>
        <v>0</v>
      </c>
      <c r="N232" s="4"/>
    </row>
    <row r="233" spans="1:14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5">
        <f>IFERROR((K233/1000000*VLOOKUP(D233,Rates!$A$4:$C$8,2,FALSE()))+(L233/1000000*VLOOKUP(D233,Rates!$A$4:$C$8,3,FALSE())),0)</f>
        <v>0</v>
      </c>
      <c r="N233" s="4"/>
    </row>
    <row r="234" spans="1:14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5">
        <f>IFERROR((K234/1000000*VLOOKUP(D234,Rates!$A$4:$C$8,2,FALSE()))+(L234/1000000*VLOOKUP(D234,Rates!$A$4:$C$8,3,FALSE())),0)</f>
        <v>0</v>
      </c>
      <c r="N234" s="4"/>
    </row>
    <row r="235" spans="1:14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5">
        <f>IFERROR((K235/1000000*VLOOKUP(D235,Rates!$A$4:$C$8,2,FALSE()))+(L235/1000000*VLOOKUP(D235,Rates!$A$4:$C$8,3,FALSE())),0)</f>
        <v>0</v>
      </c>
      <c r="N235" s="4"/>
    </row>
    <row r="236" spans="1:14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5">
        <f>IFERROR((K236/1000000*VLOOKUP(D236,Rates!$A$4:$C$8,2,FALSE()))+(L236/1000000*VLOOKUP(D236,Rates!$A$4:$C$8,3,FALSE())),0)</f>
        <v>0</v>
      </c>
      <c r="N236" s="4"/>
    </row>
    <row r="237" spans="1:14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5">
        <f>IFERROR((K237/1000000*VLOOKUP(D237,Rates!$A$4:$C$8,2,FALSE()))+(L237/1000000*VLOOKUP(D237,Rates!$A$4:$C$8,3,FALSE())),0)</f>
        <v>0</v>
      </c>
      <c r="N237" s="4"/>
    </row>
    <row r="238" spans="1:14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5">
        <f>IFERROR((K238/1000000*VLOOKUP(D238,Rates!$A$4:$C$8,2,FALSE()))+(L238/1000000*VLOOKUP(D238,Rates!$A$4:$C$8,3,FALSE())),0)</f>
        <v>0</v>
      </c>
      <c r="N238" s="4"/>
    </row>
    <row r="239" spans="1:14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5">
        <f>IFERROR((K239/1000000*VLOOKUP(D239,Rates!$A$4:$C$8,2,FALSE()))+(L239/1000000*VLOOKUP(D239,Rates!$A$4:$C$8,3,FALSE())),0)</f>
        <v>0</v>
      </c>
      <c r="N239" s="4"/>
    </row>
    <row r="240" spans="1:14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5">
        <f>IFERROR((K240/1000000*VLOOKUP(D240,Rates!$A$4:$C$8,2,FALSE()))+(L240/1000000*VLOOKUP(D240,Rates!$A$4:$C$8,3,FALSE())),0)</f>
        <v>0</v>
      </c>
      <c r="N240" s="4"/>
    </row>
    <row r="241" spans="1:14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5">
        <f>IFERROR((K241/1000000*VLOOKUP(D241,Rates!$A$4:$C$8,2,FALSE()))+(L241/1000000*VLOOKUP(D241,Rates!$A$4:$C$8,3,FALSE())),0)</f>
        <v>0</v>
      </c>
      <c r="N241" s="4"/>
    </row>
    <row r="242" spans="1:14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5">
        <f>IFERROR((K242/1000000*VLOOKUP(D242,Rates!$A$4:$C$8,2,FALSE()))+(L242/1000000*VLOOKUP(D242,Rates!$A$4:$C$8,3,FALSE())),0)</f>
        <v>0</v>
      </c>
      <c r="N242" s="4"/>
    </row>
    <row r="243" spans="1:14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5">
        <f>IFERROR((K243/1000000*VLOOKUP(D243,Rates!$A$4:$C$8,2,FALSE()))+(L243/1000000*VLOOKUP(D243,Rates!$A$4:$C$8,3,FALSE())),0)</f>
        <v>0</v>
      </c>
      <c r="N243" s="4"/>
    </row>
    <row r="244" spans="1:14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5">
        <f>IFERROR((K244/1000000*VLOOKUP(D244,Rates!$A$4:$C$8,2,FALSE()))+(L244/1000000*VLOOKUP(D244,Rates!$A$4:$C$8,3,FALSE())),0)</f>
        <v>0</v>
      </c>
      <c r="N244" s="4"/>
    </row>
    <row r="245" spans="1:14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5">
        <f>IFERROR((K245/1000000*VLOOKUP(D245,Rates!$A$4:$C$8,2,FALSE()))+(L245/1000000*VLOOKUP(D245,Rates!$A$4:$C$8,3,FALSE())),0)</f>
        <v>0</v>
      </c>
      <c r="N245" s="4"/>
    </row>
    <row r="246" spans="1:14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5">
        <f>IFERROR((K246/1000000*VLOOKUP(D246,Rates!$A$4:$C$8,2,FALSE()))+(L246/1000000*VLOOKUP(D246,Rates!$A$4:$C$8,3,FALSE())),0)</f>
        <v>0</v>
      </c>
      <c r="N246" s="4"/>
    </row>
    <row r="247" spans="1:14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5">
        <f>IFERROR((K247/1000000*VLOOKUP(D247,Rates!$A$4:$C$8,2,FALSE()))+(L247/1000000*VLOOKUP(D247,Rates!$A$4:$C$8,3,FALSE())),0)</f>
        <v>0</v>
      </c>
      <c r="N247" s="4"/>
    </row>
    <row r="248" spans="1:14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5">
        <f>IFERROR((K248/1000000*VLOOKUP(D248,Rates!$A$4:$C$8,2,FALSE()))+(L248/1000000*VLOOKUP(D248,Rates!$A$4:$C$8,3,FALSE())),0)</f>
        <v>0</v>
      </c>
      <c r="N248" s="4"/>
    </row>
    <row r="249" spans="1:14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5">
        <f>IFERROR((K249/1000000*VLOOKUP(D249,Rates!$A$4:$C$8,2,FALSE()))+(L249/1000000*VLOOKUP(D249,Rates!$A$4:$C$8,3,FALSE())),0)</f>
        <v>0</v>
      </c>
      <c r="N249" s="4"/>
    </row>
    <row r="250" spans="1:14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5">
        <f>IFERROR((K250/1000000*VLOOKUP(D250,Rates!$A$4:$C$8,2,FALSE()))+(L250/1000000*VLOOKUP(D250,Rates!$A$4:$C$8,3,FALSE())),0)</f>
        <v>0</v>
      </c>
      <c r="N250" s="4"/>
    </row>
    <row r="251" spans="1:14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5">
        <f>IFERROR((K251/1000000*VLOOKUP(D251,Rates!$A$4:$C$8,2,FALSE()))+(L251/1000000*VLOOKUP(D251,Rates!$A$4:$C$8,3,FALSE())),0)</f>
        <v>0</v>
      </c>
      <c r="N251" s="4"/>
    </row>
    <row r="252" spans="1:14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5">
        <f>IFERROR((K252/1000000*VLOOKUP(D252,Rates!$A$4:$C$8,2,FALSE()))+(L252/1000000*VLOOKUP(D252,Rates!$A$4:$C$8,3,FALSE())),0)</f>
        <v>0</v>
      </c>
      <c r="N252" s="4"/>
    </row>
    <row r="253" spans="1:14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5">
        <f>IFERROR((K253/1000000*VLOOKUP(D253,Rates!$A$4:$C$8,2,FALSE()))+(L253/1000000*VLOOKUP(D253,Rates!$A$4:$C$8,3,FALSE())),0)</f>
        <v>0</v>
      </c>
      <c r="N253" s="4"/>
    </row>
    <row r="254" spans="1:14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5">
        <f>IFERROR((K254/1000000*VLOOKUP(D254,Rates!$A$4:$C$8,2,FALSE()))+(L254/1000000*VLOOKUP(D254,Rates!$A$4:$C$8,3,FALSE())),0)</f>
        <v>0</v>
      </c>
      <c r="N254" s="4"/>
    </row>
    <row r="255" spans="1:14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5">
        <f>IFERROR((K255/1000000*VLOOKUP(D255,Rates!$A$4:$C$8,2,FALSE()))+(L255/1000000*VLOOKUP(D255,Rates!$A$4:$C$8,3,FALSE())),0)</f>
        <v>0</v>
      </c>
      <c r="N255" s="4"/>
    </row>
    <row r="256" spans="1:14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5">
        <f>IFERROR((K256/1000000*VLOOKUP(D256,Rates!$A$4:$C$8,2,FALSE()))+(L256/1000000*VLOOKUP(D256,Rates!$A$4:$C$8,3,FALSE())),0)</f>
        <v>0</v>
      </c>
      <c r="N256" s="4"/>
    </row>
    <row r="257" spans="1:14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5">
        <f>IFERROR((K257/1000000*VLOOKUP(D257,Rates!$A$4:$C$8,2,FALSE()))+(L257/1000000*VLOOKUP(D257,Rates!$A$4:$C$8,3,FALSE())),0)</f>
        <v>0</v>
      </c>
      <c r="N257" s="4"/>
    </row>
    <row r="258" spans="1:14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5">
        <f>IFERROR((K258/1000000*VLOOKUP(D258,Rates!$A$4:$C$8,2,FALSE()))+(L258/1000000*VLOOKUP(D258,Rates!$A$4:$C$8,3,FALSE())),0)</f>
        <v>0</v>
      </c>
      <c r="N258" s="4"/>
    </row>
    <row r="259" spans="1:14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5">
        <f>IFERROR((K259/1000000*VLOOKUP(D259,Rates!$A$4:$C$8,2,FALSE()))+(L259/1000000*VLOOKUP(D259,Rates!$A$4:$C$8,3,FALSE())),0)</f>
        <v>0</v>
      </c>
      <c r="N259" s="4"/>
    </row>
    <row r="260" spans="1:14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5">
        <f>IFERROR((K260/1000000*VLOOKUP(D260,Rates!$A$4:$C$8,2,FALSE()))+(L260/1000000*VLOOKUP(D260,Rates!$A$4:$C$8,3,FALSE())),0)</f>
        <v>0</v>
      </c>
      <c r="N260" s="4"/>
    </row>
    <row r="261" spans="1:14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5">
        <f>IFERROR((K261/1000000*VLOOKUP(D261,Rates!$A$4:$C$8,2,FALSE()))+(L261/1000000*VLOOKUP(D261,Rates!$A$4:$C$8,3,FALSE())),0)</f>
        <v>0</v>
      </c>
      <c r="N261" s="4"/>
    </row>
    <row r="262" spans="1:14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5">
        <f>IFERROR((K262/1000000*VLOOKUP(D262,Rates!$A$4:$C$8,2,FALSE()))+(L262/1000000*VLOOKUP(D262,Rates!$A$4:$C$8,3,FALSE())),0)</f>
        <v>0</v>
      </c>
      <c r="N262" s="4"/>
    </row>
    <row r="263" spans="1:14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5">
        <f>IFERROR((K263/1000000*VLOOKUP(D263,Rates!$A$4:$C$8,2,FALSE()))+(L263/1000000*VLOOKUP(D263,Rates!$A$4:$C$8,3,FALSE())),0)</f>
        <v>0</v>
      </c>
      <c r="N263" s="4"/>
    </row>
    <row r="264" spans="1:14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5">
        <f>IFERROR((K264/1000000*VLOOKUP(D264,Rates!$A$4:$C$8,2,FALSE()))+(L264/1000000*VLOOKUP(D264,Rates!$A$4:$C$8,3,FALSE())),0)</f>
        <v>0</v>
      </c>
      <c r="N264" s="4"/>
    </row>
    <row r="265" spans="1:14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5">
        <f>IFERROR((K265/1000000*VLOOKUP(D265,Rates!$A$4:$C$8,2,FALSE()))+(L265/1000000*VLOOKUP(D265,Rates!$A$4:$C$8,3,FALSE())),0)</f>
        <v>0</v>
      </c>
      <c r="N265" s="4"/>
    </row>
    <row r="266" spans="1:14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5">
        <f>IFERROR((K266/1000000*VLOOKUP(D266,Rates!$A$4:$C$8,2,FALSE()))+(L266/1000000*VLOOKUP(D266,Rates!$A$4:$C$8,3,FALSE())),0)</f>
        <v>0</v>
      </c>
      <c r="N266" s="4"/>
    </row>
    <row r="267" spans="1:14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5">
        <f>IFERROR((K267/1000000*VLOOKUP(D267,Rates!$A$4:$C$8,2,FALSE()))+(L267/1000000*VLOOKUP(D267,Rates!$A$4:$C$8,3,FALSE())),0)</f>
        <v>0</v>
      </c>
      <c r="N267" s="4"/>
    </row>
    <row r="268" spans="1:14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5">
        <f>IFERROR((K268/1000000*VLOOKUP(D268,Rates!$A$4:$C$8,2,FALSE()))+(L268/1000000*VLOOKUP(D268,Rates!$A$4:$C$8,3,FALSE())),0)</f>
        <v>0</v>
      </c>
      <c r="N268" s="4"/>
    </row>
    <row r="269" spans="1:14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5">
        <f>IFERROR((K269/1000000*VLOOKUP(D269,Rates!$A$4:$C$8,2,FALSE()))+(L269/1000000*VLOOKUP(D269,Rates!$A$4:$C$8,3,FALSE())),0)</f>
        <v>0</v>
      </c>
      <c r="N269" s="4"/>
    </row>
    <row r="270" spans="1:14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5">
        <f>IFERROR((K270/1000000*VLOOKUP(D270,Rates!$A$4:$C$8,2,FALSE()))+(L270/1000000*VLOOKUP(D270,Rates!$A$4:$C$8,3,FALSE())),0)</f>
        <v>0</v>
      </c>
      <c r="N270" s="4"/>
    </row>
    <row r="271" spans="1:14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5">
        <f>IFERROR((K271/1000000*VLOOKUP(D271,Rates!$A$4:$C$8,2,FALSE()))+(L271/1000000*VLOOKUP(D271,Rates!$A$4:$C$8,3,FALSE())),0)</f>
        <v>0</v>
      </c>
      <c r="N271" s="4"/>
    </row>
    <row r="272" spans="1:14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5">
        <f>IFERROR((K272/1000000*VLOOKUP(D272,Rates!$A$4:$C$8,2,FALSE()))+(L272/1000000*VLOOKUP(D272,Rates!$A$4:$C$8,3,FALSE())),0)</f>
        <v>0</v>
      </c>
      <c r="N272" s="4"/>
    </row>
    <row r="273" spans="1:14" x14ac:dyDescent="0.3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5">
        <f>IFERROR((K273/1000000*VLOOKUP(D273,Rates!$A$4:$C$8,2,FALSE()))+(L273/1000000*VLOOKUP(D273,Rates!$A$4:$C$8,3,FALSE())),0)</f>
        <v>0</v>
      </c>
      <c r="N273" s="4"/>
    </row>
    <row r="274" spans="1:14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5">
        <f>IFERROR((K274/1000000*VLOOKUP(D274,Rates!$A$4:$C$8,2,FALSE()))+(L274/1000000*VLOOKUP(D274,Rates!$A$4:$C$8,3,FALSE())),0)</f>
        <v>0</v>
      </c>
      <c r="N274" s="4"/>
    </row>
    <row r="275" spans="1:14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5">
        <f>IFERROR((K275/1000000*VLOOKUP(D275,Rates!$A$4:$C$8,2,FALSE()))+(L275/1000000*VLOOKUP(D275,Rates!$A$4:$C$8,3,FALSE())),0)</f>
        <v>0</v>
      </c>
      <c r="N275" s="4"/>
    </row>
    <row r="276" spans="1:14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5">
        <f>IFERROR((K276/1000000*VLOOKUP(D276,Rates!$A$4:$C$8,2,FALSE()))+(L276/1000000*VLOOKUP(D276,Rates!$A$4:$C$8,3,FALSE())),0)</f>
        <v>0</v>
      </c>
      <c r="N276" s="4"/>
    </row>
    <row r="277" spans="1:14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5">
        <f>IFERROR((K277/1000000*VLOOKUP(D277,Rates!$A$4:$C$8,2,FALSE()))+(L277/1000000*VLOOKUP(D277,Rates!$A$4:$C$8,3,FALSE())),0)</f>
        <v>0</v>
      </c>
      <c r="N277" s="4"/>
    </row>
    <row r="278" spans="1:14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5">
        <f>IFERROR((K278/1000000*VLOOKUP(D278,Rates!$A$4:$C$8,2,FALSE()))+(L278/1000000*VLOOKUP(D278,Rates!$A$4:$C$8,3,FALSE())),0)</f>
        <v>0</v>
      </c>
      <c r="N278" s="4"/>
    </row>
    <row r="279" spans="1:14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5">
        <f>IFERROR((K279/1000000*VLOOKUP(D279,Rates!$A$4:$C$8,2,FALSE()))+(L279/1000000*VLOOKUP(D279,Rates!$A$4:$C$8,3,FALSE())),0)</f>
        <v>0</v>
      </c>
      <c r="N279" s="4"/>
    </row>
    <row r="280" spans="1:14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5">
        <f>IFERROR((K280/1000000*VLOOKUP(D280,Rates!$A$4:$C$8,2,FALSE()))+(L280/1000000*VLOOKUP(D280,Rates!$A$4:$C$8,3,FALSE())),0)</f>
        <v>0</v>
      </c>
      <c r="N280" s="4"/>
    </row>
    <row r="281" spans="1:14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5">
        <f>IFERROR((K281/1000000*VLOOKUP(D281,Rates!$A$4:$C$8,2,FALSE()))+(L281/1000000*VLOOKUP(D281,Rates!$A$4:$C$8,3,FALSE())),0)</f>
        <v>0</v>
      </c>
      <c r="N281" s="4"/>
    </row>
    <row r="282" spans="1:14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5">
        <f>IFERROR((K282/1000000*VLOOKUP(D282,Rates!$A$4:$C$8,2,FALSE()))+(L282/1000000*VLOOKUP(D282,Rates!$A$4:$C$8,3,FALSE())),0)</f>
        <v>0</v>
      </c>
      <c r="N282" s="4"/>
    </row>
    <row r="283" spans="1:14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5">
        <f>IFERROR((K283/1000000*VLOOKUP(D283,Rates!$A$4:$C$8,2,FALSE()))+(L283/1000000*VLOOKUP(D283,Rates!$A$4:$C$8,3,FALSE())),0)</f>
        <v>0</v>
      </c>
      <c r="N283" s="4"/>
    </row>
    <row r="284" spans="1:14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5">
        <f>IFERROR((K284/1000000*VLOOKUP(D284,Rates!$A$4:$C$8,2,FALSE()))+(L284/1000000*VLOOKUP(D284,Rates!$A$4:$C$8,3,FALSE())),0)</f>
        <v>0</v>
      </c>
      <c r="N284" s="4"/>
    </row>
    <row r="285" spans="1:14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5">
        <f>IFERROR((K285/1000000*VLOOKUP(D285,Rates!$A$4:$C$8,2,FALSE()))+(L285/1000000*VLOOKUP(D285,Rates!$A$4:$C$8,3,FALSE())),0)</f>
        <v>0</v>
      </c>
      <c r="N285" s="4"/>
    </row>
    <row r="286" spans="1:14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5">
        <f>IFERROR((K286/1000000*VLOOKUP(D286,Rates!$A$4:$C$8,2,FALSE()))+(L286/1000000*VLOOKUP(D286,Rates!$A$4:$C$8,3,FALSE())),0)</f>
        <v>0</v>
      </c>
      <c r="N286" s="4"/>
    </row>
    <row r="287" spans="1:14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5">
        <f>IFERROR((K287/1000000*VLOOKUP(D287,Rates!$A$4:$C$8,2,FALSE()))+(L287/1000000*VLOOKUP(D287,Rates!$A$4:$C$8,3,FALSE())),0)</f>
        <v>0</v>
      </c>
      <c r="N287" s="4"/>
    </row>
    <row r="288" spans="1:14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5">
        <f>IFERROR((K288/1000000*VLOOKUP(D288,Rates!$A$4:$C$8,2,FALSE()))+(L288/1000000*VLOOKUP(D288,Rates!$A$4:$C$8,3,FALSE())),0)</f>
        <v>0</v>
      </c>
      <c r="N288" s="4"/>
    </row>
    <row r="289" spans="1:14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5">
        <f>IFERROR((K289/1000000*VLOOKUP(D289,Rates!$A$4:$C$8,2,FALSE()))+(L289/1000000*VLOOKUP(D289,Rates!$A$4:$C$8,3,FALSE())),0)</f>
        <v>0</v>
      </c>
      <c r="N289" s="4"/>
    </row>
    <row r="290" spans="1:14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5">
        <f>IFERROR((K290/1000000*VLOOKUP(D290,Rates!$A$4:$C$8,2,FALSE()))+(L290/1000000*VLOOKUP(D290,Rates!$A$4:$C$8,3,FALSE())),0)</f>
        <v>0</v>
      </c>
      <c r="N290" s="4"/>
    </row>
    <row r="291" spans="1:14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5">
        <f>IFERROR((K291/1000000*VLOOKUP(D291,Rates!$A$4:$C$8,2,FALSE()))+(L291/1000000*VLOOKUP(D291,Rates!$A$4:$C$8,3,FALSE())),0)</f>
        <v>0</v>
      </c>
      <c r="N291" s="4"/>
    </row>
    <row r="292" spans="1:14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5">
        <f>IFERROR((K292/1000000*VLOOKUP(D292,Rates!$A$4:$C$8,2,FALSE()))+(L292/1000000*VLOOKUP(D292,Rates!$A$4:$C$8,3,FALSE())),0)</f>
        <v>0</v>
      </c>
      <c r="N292" s="4"/>
    </row>
    <row r="293" spans="1:14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5">
        <f>IFERROR((K293/1000000*VLOOKUP(D293,Rates!$A$4:$C$8,2,FALSE()))+(L293/1000000*VLOOKUP(D293,Rates!$A$4:$C$8,3,FALSE())),0)</f>
        <v>0</v>
      </c>
      <c r="N293" s="4"/>
    </row>
    <row r="294" spans="1:14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5">
        <f>IFERROR((K294/1000000*VLOOKUP(D294,Rates!$A$4:$C$8,2,FALSE()))+(L294/1000000*VLOOKUP(D294,Rates!$A$4:$C$8,3,FALSE())),0)</f>
        <v>0</v>
      </c>
      <c r="N294" s="4"/>
    </row>
    <row r="295" spans="1:14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5">
        <f>IFERROR((K295/1000000*VLOOKUP(D295,Rates!$A$4:$C$8,2,FALSE()))+(L295/1000000*VLOOKUP(D295,Rates!$A$4:$C$8,3,FALSE())),0)</f>
        <v>0</v>
      </c>
      <c r="N295" s="4"/>
    </row>
    <row r="296" spans="1:14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5">
        <f>IFERROR((K296/1000000*VLOOKUP(D296,Rates!$A$4:$C$8,2,FALSE()))+(L296/1000000*VLOOKUP(D296,Rates!$A$4:$C$8,3,FALSE())),0)</f>
        <v>0</v>
      </c>
      <c r="N296" s="4"/>
    </row>
    <row r="297" spans="1:14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5">
        <f>IFERROR((K297/1000000*VLOOKUP(D297,Rates!$A$4:$C$8,2,FALSE()))+(L297/1000000*VLOOKUP(D297,Rates!$A$4:$C$8,3,FALSE())),0)</f>
        <v>0</v>
      </c>
      <c r="N297" s="4"/>
    </row>
    <row r="298" spans="1:14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5">
        <f>IFERROR((K298/1000000*VLOOKUP(D298,Rates!$A$4:$C$8,2,FALSE()))+(L298/1000000*VLOOKUP(D298,Rates!$A$4:$C$8,3,FALSE())),0)</f>
        <v>0</v>
      </c>
      <c r="N298" s="4"/>
    </row>
    <row r="299" spans="1:14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5">
        <f>IFERROR((K299/1000000*VLOOKUP(D299,Rates!$A$4:$C$8,2,FALSE()))+(L299/1000000*VLOOKUP(D299,Rates!$A$4:$C$8,3,FALSE())),0)</f>
        <v>0</v>
      </c>
      <c r="N299" s="4"/>
    </row>
    <row r="300" spans="1:14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5">
        <f>IFERROR((K300/1000000*VLOOKUP(D300,Rates!$A$4:$C$8,2,FALSE()))+(L300/1000000*VLOOKUP(D300,Rates!$A$4:$C$8,3,FALSE())),0)</f>
        <v>0</v>
      </c>
      <c r="N300" s="4"/>
    </row>
    <row r="301" spans="1:14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5">
        <f>IFERROR((K301/1000000*VLOOKUP(D301,Rates!$A$4:$C$8,2,FALSE()))+(L301/1000000*VLOOKUP(D301,Rates!$A$4:$C$8,3,FALSE())),0)</f>
        <v>0</v>
      </c>
      <c r="N301" s="4"/>
    </row>
    <row r="302" spans="1:14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5">
        <f>IFERROR((K302/1000000*VLOOKUP(D302,Rates!$A$4:$C$8,2,FALSE()))+(L302/1000000*VLOOKUP(D302,Rates!$A$4:$C$8,3,FALSE())),0)</f>
        <v>0</v>
      </c>
      <c r="N302" s="4"/>
    </row>
    <row r="303" spans="1:14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5">
        <f>IFERROR((K303/1000000*VLOOKUP(D303,Rates!$A$4:$C$8,2,FALSE()))+(L303/1000000*VLOOKUP(D303,Rates!$A$4:$C$8,3,FALSE())),0)</f>
        <v>0</v>
      </c>
      <c r="N303" s="4"/>
    </row>
    <row r="304" spans="1:14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5">
        <f>IFERROR((K304/1000000*VLOOKUP(D304,Rates!$A$4:$C$8,2,FALSE()))+(L304/1000000*VLOOKUP(D304,Rates!$A$4:$C$8,3,FALSE())),0)</f>
        <v>0</v>
      </c>
      <c r="N304" s="4"/>
    </row>
    <row r="305" spans="1:14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5">
        <f>IFERROR((K305/1000000*VLOOKUP(D305,Rates!$A$4:$C$8,2,FALSE()))+(L305/1000000*VLOOKUP(D305,Rates!$A$4:$C$8,3,FALSE())),0)</f>
        <v>0</v>
      </c>
      <c r="N305" s="4"/>
    </row>
  </sheetData>
  <mergeCells count="1">
    <mergeCell ref="A7:L7"/>
  </mergeCells>
  <conditionalFormatting sqref="G2:H2 G4:H5 G13:H305">
    <cfRule type="cellIs" dxfId="62" priority="35" operator="equal">
      <formula>"Y"</formula>
    </cfRule>
    <cfRule type="cellIs" dxfId="61" priority="36" operator="equal">
      <formula>"Partial"</formula>
    </cfRule>
    <cfRule type="cellIs" dxfId="60" priority="37" operator="equal">
      <formula>"N"</formula>
    </cfRule>
  </conditionalFormatting>
  <conditionalFormatting sqref="N2:N5 N7 N13:N305">
    <cfRule type="cellIs" dxfId="59" priority="38" operator="equal">
      <formula>"Y"</formula>
    </cfRule>
    <cfRule type="cellIs" dxfId="58" priority="39" operator="equal">
      <formula>"N"</formula>
    </cfRule>
  </conditionalFormatting>
  <conditionalFormatting sqref="G3:H3">
    <cfRule type="cellIs" dxfId="57" priority="31" operator="equal">
      <formula>"Y"</formula>
    </cfRule>
    <cfRule type="cellIs" dxfId="56" priority="32" operator="equal">
      <formula>"Partial"</formula>
    </cfRule>
    <cfRule type="cellIs" dxfId="55" priority="33" operator="equal">
      <formula>"N"</formula>
    </cfRule>
  </conditionalFormatting>
  <conditionalFormatting sqref="G6:H6">
    <cfRule type="cellIs" dxfId="54" priority="26" operator="equal">
      <formula>"Y"</formula>
    </cfRule>
    <cfRule type="cellIs" dxfId="53" priority="27" operator="equal">
      <formula>"Partial"</formula>
    </cfRule>
    <cfRule type="cellIs" dxfId="52" priority="28" operator="equal">
      <formula>"N"</formula>
    </cfRule>
  </conditionalFormatting>
  <conditionalFormatting sqref="N6">
    <cfRule type="cellIs" dxfId="51" priority="29" operator="equal">
      <formula>"Y"</formula>
    </cfRule>
    <cfRule type="cellIs" dxfId="50" priority="30" operator="equal">
      <formula>"N"</formula>
    </cfRule>
  </conditionalFormatting>
  <conditionalFormatting sqref="G8:H8">
    <cfRule type="cellIs" dxfId="49" priority="21" operator="equal">
      <formula>"Y"</formula>
    </cfRule>
    <cfRule type="cellIs" dxfId="48" priority="22" operator="equal">
      <formula>"Partial"</formula>
    </cfRule>
    <cfRule type="cellIs" dxfId="47" priority="23" operator="equal">
      <formula>"N"</formula>
    </cfRule>
  </conditionalFormatting>
  <conditionalFormatting sqref="N8">
    <cfRule type="cellIs" dxfId="43" priority="24" operator="equal">
      <formula>"Y"</formula>
    </cfRule>
    <cfRule type="cellIs" dxfId="42" priority="25" operator="equal">
      <formula>"N"</formula>
    </cfRule>
  </conditionalFormatting>
  <conditionalFormatting sqref="N9">
    <cfRule type="cellIs" dxfId="39" priority="19" operator="equal">
      <formula>"Y"</formula>
    </cfRule>
    <cfRule type="cellIs" dxfId="38" priority="20" operator="equal">
      <formula>"N"</formula>
    </cfRule>
  </conditionalFormatting>
  <conditionalFormatting sqref="G9:H9">
    <cfRule type="cellIs" dxfId="35" priority="16" operator="equal">
      <formula>"Y"</formula>
    </cfRule>
    <cfRule type="cellIs" dxfId="34" priority="17" operator="equal">
      <formula>"Partial"</formula>
    </cfRule>
    <cfRule type="cellIs" dxfId="33" priority="18" operator="equal">
      <formula>"N"</formula>
    </cfRule>
  </conditionalFormatting>
  <conditionalFormatting sqref="N10">
    <cfRule type="cellIs" dxfId="29" priority="14" operator="equal">
      <formula>"Y"</formula>
    </cfRule>
    <cfRule type="cellIs" dxfId="28" priority="15" operator="equal">
      <formula>"N"</formula>
    </cfRule>
  </conditionalFormatting>
  <conditionalFormatting sqref="G10:H10">
    <cfRule type="cellIs" dxfId="25" priority="11" operator="equal">
      <formula>"Y"</formula>
    </cfRule>
    <cfRule type="cellIs" dxfId="24" priority="12" operator="equal">
      <formula>"Partial"</formula>
    </cfRule>
    <cfRule type="cellIs" dxfId="23" priority="13" operator="equal">
      <formula>"N"</formula>
    </cfRule>
  </conditionalFormatting>
  <conditionalFormatting sqref="N11">
    <cfRule type="cellIs" dxfId="19" priority="9" operator="equal">
      <formula>"Y"</formula>
    </cfRule>
    <cfRule type="cellIs" dxfId="18" priority="10" operator="equal">
      <formula>"N"</formula>
    </cfRule>
  </conditionalFormatting>
  <conditionalFormatting sqref="G11:H11">
    <cfRule type="cellIs" dxfId="15" priority="6" operator="equal">
      <formula>"Y"</formula>
    </cfRule>
    <cfRule type="cellIs" dxfId="14" priority="7" operator="equal">
      <formula>"Partial"</formula>
    </cfRule>
    <cfRule type="cellIs" dxfId="13" priority="8" operator="equal">
      <formula>"N"</formula>
    </cfRule>
  </conditionalFormatting>
  <conditionalFormatting sqref="N12">
    <cfRule type="cellIs" dxfId="9" priority="4" operator="equal">
      <formula>"Y"</formula>
    </cfRule>
    <cfRule type="cellIs" dxfId="8" priority="5" operator="equal">
      <formula>"N"</formula>
    </cfRule>
  </conditionalFormatting>
  <conditionalFormatting sqref="G12:H12">
    <cfRule type="cellIs" dxfId="5" priority="1" operator="equal">
      <formula>"Y"</formula>
    </cfRule>
    <cfRule type="cellIs" dxfId="4" priority="2" operator="equal">
      <formula>"Partial"</formula>
    </cfRule>
    <cfRule type="cellIs" dxfId="3" priority="3" operator="equal">
      <formula>"N"</formula>
    </cfRule>
  </conditionalFormatting>
  <dataValidations count="4">
    <dataValidation type="list" allowBlank="1" sqref="D2:D6 D8:D305">
      <formula1>"Claude,ChatGPT,Grok,Gemini,Other"</formula1>
      <formula2>0</formula2>
    </dataValidation>
    <dataValidation type="list" allowBlank="1" sqref="G2:G6 G8:G305">
      <formula1>"Y,N,Partial"</formula1>
      <formula2>0</formula2>
    </dataValidation>
    <dataValidation type="list" allowBlank="1" sqref="H2:H6 H8:H305">
      <formula1>"Y,N"</formula1>
      <formula2>0</formula2>
    </dataValidation>
    <dataValidation type="list" allowBlank="1" sqref="N2:N305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showGridLines="0" zoomScaleNormal="100" workbookViewId="0">
      <selection activeCell="D7" sqref="D7"/>
    </sheetView>
  </sheetViews>
  <sheetFormatPr defaultColWidth="8.6328125" defaultRowHeight="14.5" x14ac:dyDescent="0.35"/>
  <cols>
    <col min="1" max="1" width="16" customWidth="1"/>
    <col min="2" max="3" width="18" customWidth="1"/>
    <col min="4" max="4" width="42" customWidth="1"/>
  </cols>
  <sheetData>
    <row r="1" spans="1:4" ht="15.5" x14ac:dyDescent="0.35">
      <c r="A1" s="21" t="s">
        <v>25</v>
      </c>
      <c r="B1" s="21"/>
      <c r="C1" s="21"/>
      <c r="D1" s="21"/>
    </row>
    <row r="3" spans="1:4" x14ac:dyDescent="0.35">
      <c r="A3" s="1" t="s">
        <v>3</v>
      </c>
      <c r="B3" s="1" t="s">
        <v>26</v>
      </c>
      <c r="C3" s="1" t="s">
        <v>27</v>
      </c>
      <c r="D3" s="1" t="s">
        <v>28</v>
      </c>
    </row>
    <row r="4" spans="1:4" x14ac:dyDescent="0.35">
      <c r="A4" s="6" t="s">
        <v>24</v>
      </c>
      <c r="B4" s="7">
        <v>3</v>
      </c>
      <c r="C4" s="7">
        <v>15</v>
      </c>
      <c r="D4" s="6" t="s">
        <v>29</v>
      </c>
    </row>
    <row r="5" spans="1:4" x14ac:dyDescent="0.35">
      <c r="A5" s="6" t="s">
        <v>16</v>
      </c>
      <c r="B5" s="7">
        <v>2.5</v>
      </c>
      <c r="C5" s="7">
        <v>10</v>
      </c>
      <c r="D5" s="6" t="s">
        <v>30</v>
      </c>
    </row>
    <row r="6" spans="1:4" x14ac:dyDescent="0.35">
      <c r="A6" s="6" t="s">
        <v>31</v>
      </c>
      <c r="B6" s="7">
        <v>3</v>
      </c>
      <c r="C6" s="7">
        <v>15</v>
      </c>
      <c r="D6" s="6" t="s">
        <v>32</v>
      </c>
    </row>
    <row r="7" spans="1:4" x14ac:dyDescent="0.35">
      <c r="A7" s="6" t="s">
        <v>33</v>
      </c>
      <c r="B7" s="7">
        <v>1.25</v>
      </c>
      <c r="C7" s="7">
        <v>5</v>
      </c>
      <c r="D7" s="6" t="s">
        <v>32</v>
      </c>
    </row>
    <row r="8" spans="1:4" x14ac:dyDescent="0.35">
      <c r="A8" s="6" t="s">
        <v>34</v>
      </c>
      <c r="B8" s="7">
        <v>0</v>
      </c>
      <c r="C8" s="7">
        <v>0</v>
      </c>
      <c r="D8" s="6" t="s">
        <v>35</v>
      </c>
    </row>
    <row r="10" spans="1:4" x14ac:dyDescent="0.35">
      <c r="A10" s="22" t="s">
        <v>36</v>
      </c>
      <c r="B10" s="22"/>
      <c r="C10" s="22"/>
      <c r="D10" s="22"/>
    </row>
  </sheetData>
  <mergeCells count="2">
    <mergeCell ref="A1:D1"/>
    <mergeCell ref="A10:D1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showGridLines="0" zoomScaleNormal="100" workbookViewId="0">
      <selection activeCell="B26" sqref="B26"/>
    </sheetView>
  </sheetViews>
  <sheetFormatPr defaultColWidth="8.6328125" defaultRowHeight="14.5" x14ac:dyDescent="0.35"/>
  <cols>
    <col min="1" max="1" width="24" customWidth="1"/>
    <col min="2" max="5" width="16" customWidth="1"/>
  </cols>
  <sheetData>
    <row r="1" spans="1:5" ht="20" x14ac:dyDescent="0.4">
      <c r="A1" s="23" t="s">
        <v>37</v>
      </c>
      <c r="B1" s="23"/>
      <c r="C1" s="23"/>
      <c r="D1" s="23"/>
      <c r="E1" s="23"/>
    </row>
    <row r="2" spans="1:5" x14ac:dyDescent="0.35">
      <c r="A2" s="22" t="s">
        <v>38</v>
      </c>
      <c r="B2" s="22"/>
      <c r="C2" s="22"/>
      <c r="D2" s="22"/>
      <c r="E2" s="22"/>
    </row>
    <row r="4" spans="1:5" x14ac:dyDescent="0.35">
      <c r="A4" s="24" t="s">
        <v>39</v>
      </c>
      <c r="B4" s="24"/>
    </row>
    <row r="5" spans="1:5" x14ac:dyDescent="0.35">
      <c r="A5" s="6" t="s">
        <v>40</v>
      </c>
      <c r="B5" s="8">
        <f>COUNTA(Log!A2:A305)-COUNTBLANK(Log!A2:A305)</f>
        <v>-282</v>
      </c>
    </row>
    <row r="6" spans="1:5" x14ac:dyDescent="0.35">
      <c r="A6" s="6" t="s">
        <v>41</v>
      </c>
      <c r="B6" s="8" t="e">
        <f>SUMPRODUCT((Log!A2:A305&lt;&gt;"")/COUNTIF(Log!A2:A305,Log!A2:A305&amp;""))</f>
        <v>#VALUE!</v>
      </c>
    </row>
    <row r="7" spans="1:5" x14ac:dyDescent="0.35">
      <c r="A7" s="6" t="s">
        <v>42</v>
      </c>
      <c r="B7" s="8">
        <f>COUNTIF(Log!G2:G305,"Y")</f>
        <v>4</v>
      </c>
    </row>
    <row r="8" spans="1:5" x14ac:dyDescent="0.35">
      <c r="A8" s="6" t="s">
        <v>19</v>
      </c>
      <c r="B8" s="8">
        <f>COUNTIF(Log!G2:G305,"Partial")</f>
        <v>3</v>
      </c>
    </row>
    <row r="9" spans="1:5" x14ac:dyDescent="0.35">
      <c r="A9" s="6" t="s">
        <v>43</v>
      </c>
      <c r="B9" s="8">
        <f>COUNTIF(Log!G2:G305,"N")</f>
        <v>3</v>
      </c>
    </row>
    <row r="10" spans="1:5" x14ac:dyDescent="0.35">
      <c r="A10" s="6" t="s">
        <v>44</v>
      </c>
      <c r="B10" s="9">
        <f>IFERROR(COUNTIF(Log!G2:G305,"Y")/(COUNTA(Log!G2:G305)-COUNTBLANK(Log!G2:G305)),0)</f>
        <v>-1.4084507042253521E-2</v>
      </c>
    </row>
    <row r="11" spans="1:5" x14ac:dyDescent="0.35">
      <c r="A11" s="6" t="s">
        <v>45</v>
      </c>
      <c r="B11" s="9">
        <f>IFERROR(COUNTIF(Log!H2:H305,"Y")/(COUNTA(Log!H2:H305)-COUNTBLANK(Log!H2:H305)),0)</f>
        <v>-2.464788732394366E-2</v>
      </c>
    </row>
    <row r="12" spans="1:5" x14ac:dyDescent="0.35">
      <c r="A12" s="6" t="s">
        <v>46</v>
      </c>
      <c r="B12" s="10">
        <f>SUM(Log!M2:M305)</f>
        <v>0</v>
      </c>
    </row>
    <row r="13" spans="1:5" x14ac:dyDescent="0.35">
      <c r="A13" s="6" t="s">
        <v>47</v>
      </c>
      <c r="B13" s="10">
        <f>IFERROR(SUMIF(Log!G2:G305,"Y",Log!M2:M305)/COUNTIF(Log!G2:G305,"Y"),0)</f>
        <v>0</v>
      </c>
    </row>
    <row r="15" spans="1:5" x14ac:dyDescent="0.35">
      <c r="A15" s="24" t="s">
        <v>48</v>
      </c>
      <c r="B15" s="24"/>
      <c r="C15" s="24"/>
      <c r="D15" s="24"/>
      <c r="E15" s="24"/>
    </row>
    <row r="16" spans="1:5" x14ac:dyDescent="0.35">
      <c r="A16" s="11" t="s">
        <v>3</v>
      </c>
      <c r="B16" s="11" t="s">
        <v>49</v>
      </c>
      <c r="C16" s="11" t="s">
        <v>50</v>
      </c>
      <c r="D16" s="11" t="s">
        <v>51</v>
      </c>
      <c r="E16" s="11" t="s">
        <v>52</v>
      </c>
    </row>
    <row r="17" spans="1:5" x14ac:dyDescent="0.35">
      <c r="A17" s="6" t="s">
        <v>24</v>
      </c>
      <c r="B17" s="12">
        <f>COUNTIF(Log!$D$2:$D$305,A17)</f>
        <v>0</v>
      </c>
      <c r="C17" s="13">
        <f>IFERROR(COUNTIFS(Log!$D$2:$D$305,A17,Log!$G$2:$G$305,"Y")/B17,0)</f>
        <v>0</v>
      </c>
      <c r="D17" s="13">
        <f>IFERROR(COUNTIFS(Log!$D$2:$D$305,A17,Log!$H$2:$H$305,"Y")/B17,0)</f>
        <v>0</v>
      </c>
      <c r="E17" s="14">
        <f>IFERROR(AVERAGEIF(Log!$D$2:$D$305,A17,Log!$M$2:$M$305),0)</f>
        <v>0</v>
      </c>
    </row>
    <row r="18" spans="1:5" x14ac:dyDescent="0.35">
      <c r="A18" s="6" t="s">
        <v>16</v>
      </c>
      <c r="B18" s="12">
        <f>COUNTIF(Log!$D$2:$D$305,A18)</f>
        <v>0</v>
      </c>
      <c r="C18" s="13">
        <f>IFERROR(COUNTIFS(Log!$D$2:$D$305,A18,Log!$G$2:$G$305,"Y")/B18,0)</f>
        <v>0</v>
      </c>
      <c r="D18" s="13">
        <f>IFERROR(COUNTIFS(Log!$D$2:$D$305,A18,Log!$H$2:$H$305,"Y")/B18,0)</f>
        <v>0</v>
      </c>
      <c r="E18" s="14">
        <f>IFERROR(AVERAGEIF(Log!$D$2:$D$305,A18,Log!$M$2:$M$305),0)</f>
        <v>0</v>
      </c>
    </row>
    <row r="19" spans="1:5" x14ac:dyDescent="0.35">
      <c r="A19" s="6" t="s">
        <v>31</v>
      </c>
      <c r="B19" s="12">
        <f>COUNTIF(Log!$D$2:$D$305,A19)</f>
        <v>0</v>
      </c>
      <c r="C19" s="13">
        <f>IFERROR(COUNTIFS(Log!$D$2:$D$305,A19,Log!$G$2:$G$305,"Y")/B19,0)</f>
        <v>0</v>
      </c>
      <c r="D19" s="13">
        <f>IFERROR(COUNTIFS(Log!$D$2:$D$305,A19,Log!$H$2:$H$305,"Y")/B19,0)</f>
        <v>0</v>
      </c>
      <c r="E19" s="14">
        <f>IFERROR(AVERAGEIF(Log!$D$2:$D$305,A19,Log!$M$2:$M$305),0)</f>
        <v>0</v>
      </c>
    </row>
    <row r="20" spans="1:5" x14ac:dyDescent="0.35">
      <c r="A20" s="6" t="s">
        <v>33</v>
      </c>
      <c r="B20" s="12">
        <f>COUNTIF(Log!$D$2:$D$305,A20)</f>
        <v>0</v>
      </c>
      <c r="C20" s="13">
        <f>IFERROR(COUNTIFS(Log!$D$2:$D$305,A20,Log!$G$2:$G$305,"Y")/B20,0)</f>
        <v>0</v>
      </c>
      <c r="D20" s="13">
        <f>IFERROR(COUNTIFS(Log!$D$2:$D$305,A20,Log!$H$2:$H$305,"Y")/B20,0)</f>
        <v>0</v>
      </c>
      <c r="E20" s="14">
        <f>IFERROR(AVERAGEIF(Log!$D$2:$D$305,A20,Log!$M$2:$M$305),0)</f>
        <v>0</v>
      </c>
    </row>
    <row r="21" spans="1:5" x14ac:dyDescent="0.35">
      <c r="A21" s="6" t="s">
        <v>34</v>
      </c>
      <c r="B21" s="12">
        <f>COUNTIF(Log!$D$2:$D$305,A21)</f>
        <v>0</v>
      </c>
      <c r="C21" s="13">
        <f>IFERROR(COUNTIFS(Log!$D$2:$D$305,A21,Log!$G$2:$G$305,"Y")/B21,0)</f>
        <v>0</v>
      </c>
      <c r="D21" s="13">
        <f>IFERROR(COUNTIFS(Log!$D$2:$D$305,A21,Log!$H$2:$H$305,"Y")/B21,0)</f>
        <v>0</v>
      </c>
      <c r="E21" s="14">
        <f>IFERROR(AVERAGEIF(Log!$D$2:$D$305,A21,Log!$M$2:$M$305),0)</f>
        <v>0</v>
      </c>
    </row>
  </sheetData>
  <mergeCells count="4">
    <mergeCell ref="A1:E1"/>
    <mergeCell ref="A2:E2"/>
    <mergeCell ref="A4:B4"/>
    <mergeCell ref="A15:E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showGridLines="0" topLeftCell="A13" zoomScaleNormal="100" workbookViewId="0">
      <selection activeCell="A25" sqref="A25"/>
    </sheetView>
  </sheetViews>
  <sheetFormatPr defaultColWidth="8.6328125" defaultRowHeight="14.5" x14ac:dyDescent="0.35"/>
  <cols>
    <col min="1" max="1" width="95" customWidth="1"/>
  </cols>
  <sheetData>
    <row r="1" spans="1:1" ht="20" x14ac:dyDescent="0.4">
      <c r="A1" s="15" t="s">
        <v>53</v>
      </c>
    </row>
    <row r="2" spans="1:1" x14ac:dyDescent="0.35">
      <c r="A2" s="16"/>
    </row>
    <row r="3" spans="1:1" x14ac:dyDescent="0.35">
      <c r="A3" s="17" t="s">
        <v>54</v>
      </c>
    </row>
    <row r="4" spans="1:1" x14ac:dyDescent="0.35">
      <c r="A4" s="16" t="s">
        <v>55</v>
      </c>
    </row>
    <row r="5" spans="1:1" x14ac:dyDescent="0.35">
      <c r="A5" s="16" t="s">
        <v>56</v>
      </c>
    </row>
    <row r="6" spans="1:1" x14ac:dyDescent="0.35">
      <c r="A6" s="16" t="s">
        <v>57</v>
      </c>
    </row>
    <row r="7" spans="1:1" x14ac:dyDescent="0.35">
      <c r="A7" s="16" t="s">
        <v>58</v>
      </c>
    </row>
    <row r="8" spans="1:1" x14ac:dyDescent="0.35">
      <c r="A8" s="16"/>
    </row>
    <row r="9" spans="1:1" x14ac:dyDescent="0.35">
      <c r="A9" s="16" t="s">
        <v>59</v>
      </c>
    </row>
    <row r="10" spans="1:1" x14ac:dyDescent="0.35">
      <c r="A10" s="16" t="s">
        <v>60</v>
      </c>
    </row>
    <row r="11" spans="1:1" x14ac:dyDescent="0.35">
      <c r="A11" s="16" t="s">
        <v>61</v>
      </c>
    </row>
    <row r="12" spans="1:1" x14ac:dyDescent="0.35">
      <c r="A12" s="16" t="s">
        <v>62</v>
      </c>
    </row>
    <row r="13" spans="1:1" x14ac:dyDescent="0.35">
      <c r="A13" s="16" t="s">
        <v>63</v>
      </c>
    </row>
    <row r="14" spans="1:1" x14ac:dyDescent="0.35">
      <c r="A14" s="16"/>
    </row>
    <row r="15" spans="1:1" x14ac:dyDescent="0.35">
      <c r="A15" s="16" t="s">
        <v>64</v>
      </c>
    </row>
    <row r="16" spans="1:1" x14ac:dyDescent="0.35">
      <c r="A16" s="16" t="s">
        <v>65</v>
      </c>
    </row>
    <row r="17" spans="1:1" x14ac:dyDescent="0.35">
      <c r="A17" s="16" t="s">
        <v>66</v>
      </c>
    </row>
    <row r="18" spans="1:1" x14ac:dyDescent="0.35">
      <c r="A18" s="16"/>
    </row>
    <row r="19" spans="1:1" x14ac:dyDescent="0.35">
      <c r="A19" s="17" t="s">
        <v>67</v>
      </c>
    </row>
    <row r="20" spans="1:1" x14ac:dyDescent="0.35">
      <c r="A20" s="16" t="s">
        <v>68</v>
      </c>
    </row>
    <row r="21" spans="1:1" x14ac:dyDescent="0.35">
      <c r="A21" s="16" t="s">
        <v>69</v>
      </c>
    </row>
    <row r="22" spans="1:1" x14ac:dyDescent="0.35">
      <c r="A22" s="16" t="s">
        <v>70</v>
      </c>
    </row>
    <row r="23" spans="1:1" x14ac:dyDescent="0.35">
      <c r="A23" s="16" t="s">
        <v>71</v>
      </c>
    </row>
    <row r="24" spans="1:1" x14ac:dyDescent="0.35">
      <c r="A24" s="16" t="s">
        <v>72</v>
      </c>
    </row>
    <row r="25" spans="1:1" x14ac:dyDescent="0.35">
      <c r="A25" s="16"/>
    </row>
    <row r="26" spans="1:1" x14ac:dyDescent="0.35">
      <c r="A26" s="17" t="s">
        <v>73</v>
      </c>
    </row>
    <row r="27" spans="1:1" x14ac:dyDescent="0.35">
      <c r="A27" s="16" t="s">
        <v>74</v>
      </c>
    </row>
    <row r="28" spans="1:1" x14ac:dyDescent="0.35">
      <c r="A28" s="16"/>
    </row>
    <row r="29" spans="1:1" x14ac:dyDescent="0.35">
      <c r="A29" s="17" t="s">
        <v>75</v>
      </c>
    </row>
    <row r="30" spans="1:1" x14ac:dyDescent="0.35">
      <c r="A30" s="16" t="s">
        <v>76</v>
      </c>
    </row>
    <row r="31" spans="1:1" x14ac:dyDescent="0.35">
      <c r="A31" s="16" t="s">
        <v>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</vt:lpstr>
      <vt:lpstr>Rates</vt:lpstr>
      <vt:lpstr>Summary</vt:lpstr>
      <vt:lpstr>How to Use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2026-06-20T12:17:28Z</dcterms:created>
  <dcterms:modified xsi:type="dcterms:W3CDTF">2026-06-24T18:18:49Z</dcterms:modified>
  <dc:language>en-US</dc:language>
</cp:coreProperties>
</file>